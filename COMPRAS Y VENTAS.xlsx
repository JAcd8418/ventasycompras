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JACD\Cuentas de Cobro\"/>
    </mc:Choice>
  </mc:AlternateContent>
  <xr:revisionPtr revIDLastSave="0" documentId="13_ncr:1_{8D375BFB-2891-4812-BF69-4AF80535B4B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B.D" sheetId="4" r:id="rId1"/>
    <sheet name="VENTAS" sheetId="3" r:id="rId2"/>
    <sheet name="Hoja1" sheetId="7" r:id="rId3"/>
    <sheet name="RESUMEN VENTAS" sheetId="5" r:id="rId4"/>
    <sheet name="COMPRAS" sheetId="1" r:id="rId5"/>
    <sheet name="RESUMEN COMPRAS" sheetId="6" r:id="rId6"/>
  </sheets>
  <definedNames>
    <definedName name="B.D">Tabla5[]</definedName>
    <definedName name="BD">Tabla5[]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7" i="3" l="1"/>
  <c r="F128" i="3"/>
  <c r="F129" i="3"/>
  <c r="F130" i="3"/>
  <c r="B130" i="3"/>
  <c r="C130" i="3"/>
  <c r="I130" i="3"/>
  <c r="L130" i="3"/>
  <c r="H129" i="3"/>
  <c r="L129" i="3" s="1"/>
  <c r="K129" i="3"/>
  <c r="B129" i="3"/>
  <c r="C129" i="3"/>
  <c r="K128" i="3"/>
  <c r="L128" i="3"/>
  <c r="K127" i="3"/>
  <c r="B128" i="3"/>
  <c r="C128" i="3"/>
  <c r="I128" i="3"/>
  <c r="B127" i="3"/>
  <c r="C127" i="3"/>
  <c r="I127" i="3"/>
  <c r="L127" i="3"/>
  <c r="K106" i="3"/>
  <c r="K122" i="3"/>
  <c r="K126" i="3"/>
  <c r="K123" i="3"/>
  <c r="F126" i="3"/>
  <c r="B126" i="3"/>
  <c r="C126" i="3"/>
  <c r="I126" i="3"/>
  <c r="L126" i="3"/>
  <c r="F125" i="3"/>
  <c r="B125" i="3"/>
  <c r="C125" i="3"/>
  <c r="I125" i="3"/>
  <c r="L125" i="3"/>
  <c r="F124" i="3"/>
  <c r="L122" i="3"/>
  <c r="K120" i="3"/>
  <c r="B124" i="3"/>
  <c r="C124" i="3"/>
  <c r="I124" i="3"/>
  <c r="L124" i="3"/>
  <c r="L4" i="3"/>
  <c r="L5" i="3"/>
  <c r="L10" i="3"/>
  <c r="L14" i="3"/>
  <c r="L15" i="3"/>
  <c r="L16" i="3"/>
  <c r="L19" i="3"/>
  <c r="L20" i="3"/>
  <c r="L21" i="3"/>
  <c r="L22" i="3"/>
  <c r="L23" i="3"/>
  <c r="L24" i="3"/>
  <c r="L26" i="3"/>
  <c r="L27" i="3"/>
  <c r="L28" i="3"/>
  <c r="L29" i="3"/>
  <c r="L30" i="3"/>
  <c r="L31" i="3"/>
  <c r="L33" i="3"/>
  <c r="L34" i="3"/>
  <c r="L35" i="3"/>
  <c r="L36" i="3"/>
  <c r="L37" i="3"/>
  <c r="L38" i="3"/>
  <c r="L39" i="3"/>
  <c r="L40" i="3"/>
  <c r="L42" i="3"/>
  <c r="L43" i="3"/>
  <c r="L44" i="3"/>
  <c r="L45" i="3"/>
  <c r="L46" i="3"/>
  <c r="L48" i="3"/>
  <c r="L50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7" i="3"/>
  <c r="L68" i="3"/>
  <c r="L70" i="3"/>
  <c r="L72" i="3"/>
  <c r="L79" i="3"/>
  <c r="L81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7" i="3"/>
  <c r="L108" i="3"/>
  <c r="L109" i="3"/>
  <c r="L111" i="3"/>
  <c r="L115" i="3"/>
  <c r="L116" i="3"/>
  <c r="L118" i="3"/>
  <c r="L120" i="3"/>
  <c r="L121" i="3"/>
  <c r="L123" i="3"/>
  <c r="F123" i="3"/>
  <c r="B123" i="3"/>
  <c r="C123" i="3"/>
  <c r="I123" i="3"/>
  <c r="F121" i="3"/>
  <c r="F122" i="3"/>
  <c r="B122" i="3"/>
  <c r="C122" i="3"/>
  <c r="B121" i="3"/>
  <c r="C121" i="3"/>
  <c r="I121" i="3"/>
  <c r="F120" i="3"/>
  <c r="B120" i="3"/>
  <c r="C120" i="3"/>
  <c r="I120" i="3"/>
  <c r="H112" i="3"/>
  <c r="L112" i="3" s="1"/>
  <c r="H110" i="3"/>
  <c r="I110" i="3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B3" i="3"/>
  <c r="F119" i="3"/>
  <c r="H119" i="3"/>
  <c r="I119" i="3" s="1"/>
  <c r="B119" i="3"/>
  <c r="F118" i="3"/>
  <c r="B118" i="3"/>
  <c r="I118" i="3"/>
  <c r="H117" i="3"/>
  <c r="I117" i="3" s="1"/>
  <c r="F117" i="3"/>
  <c r="B117" i="3"/>
  <c r="F116" i="3"/>
  <c r="B116" i="3"/>
  <c r="I116" i="3"/>
  <c r="H113" i="3"/>
  <c r="I113" i="3" s="1"/>
  <c r="J8" i="7"/>
  <c r="H7" i="7"/>
  <c r="J7" i="7" s="1"/>
  <c r="H8" i="7"/>
  <c r="I8" i="7" s="1"/>
  <c r="F115" i="3"/>
  <c r="B115" i="3"/>
  <c r="I115" i="3"/>
  <c r="G114" i="3"/>
  <c r="H114" i="3" s="1"/>
  <c r="I114" i="3" s="1"/>
  <c r="F114" i="3"/>
  <c r="B114" i="3"/>
  <c r="F113" i="3"/>
  <c r="B113" i="3"/>
  <c r="E2" i="7"/>
  <c r="D2" i="7"/>
  <c r="F112" i="3"/>
  <c r="B112" i="3"/>
  <c r="I112" i="3"/>
  <c r="F110" i="3"/>
  <c r="F111" i="3"/>
  <c r="B111" i="3"/>
  <c r="I111" i="3"/>
  <c r="B110" i="3"/>
  <c r="A7" i="5"/>
  <c r="A8" i="5"/>
  <c r="B8" i="5" s="1"/>
  <c r="A9" i="5"/>
  <c r="A10" i="5"/>
  <c r="B10" i="5" s="1"/>
  <c r="A11" i="5"/>
  <c r="A12" i="5"/>
  <c r="B12" i="5" s="1"/>
  <c r="A13" i="5"/>
  <c r="A14" i="5"/>
  <c r="B14" i="5" s="1"/>
  <c r="A15" i="5"/>
  <c r="A16" i="5"/>
  <c r="B16" i="5" s="1"/>
  <c r="A17" i="5"/>
  <c r="A18" i="5"/>
  <c r="B18" i="5" s="1"/>
  <c r="A19" i="5"/>
  <c r="A20" i="5"/>
  <c r="B20" i="5" s="1"/>
  <c r="A21" i="5"/>
  <c r="A22" i="5"/>
  <c r="B22" i="5" s="1"/>
  <c r="A23" i="5"/>
  <c r="A24" i="5"/>
  <c r="B24" i="5" s="1"/>
  <c r="A25" i="5"/>
  <c r="A26" i="5"/>
  <c r="B26" i="5" s="1"/>
  <c r="A27" i="5"/>
  <c r="A28" i="5"/>
  <c r="B28" i="5" s="1"/>
  <c r="A29" i="5"/>
  <c r="A30" i="5"/>
  <c r="B30" i="5" s="1"/>
  <c r="A31" i="5"/>
  <c r="A32" i="5"/>
  <c r="B32" i="5" s="1"/>
  <c r="A33" i="5"/>
  <c r="B33" i="5" s="1"/>
  <c r="A34" i="5"/>
  <c r="B34" i="5" s="1"/>
  <c r="A35" i="5"/>
  <c r="D35" i="5" s="1"/>
  <c r="A36" i="5"/>
  <c r="A37" i="5"/>
  <c r="B37" i="5" s="1"/>
  <c r="A38" i="5"/>
  <c r="B38" i="5" s="1"/>
  <c r="A39" i="5"/>
  <c r="D39" i="5" s="1"/>
  <c r="A40" i="5"/>
  <c r="B40" i="5" s="1"/>
  <c r="A41" i="5"/>
  <c r="D41" i="5" s="1"/>
  <c r="A42" i="5"/>
  <c r="B42" i="5" s="1"/>
  <c r="A43" i="5"/>
  <c r="D43" i="5" s="1"/>
  <c r="A44" i="5"/>
  <c r="B44" i="5" s="1"/>
  <c r="A45" i="5"/>
  <c r="D45" i="5" s="1"/>
  <c r="A46" i="5"/>
  <c r="B46" i="5" s="1"/>
  <c r="A47" i="5"/>
  <c r="D47" i="5" s="1"/>
  <c r="A6" i="5"/>
  <c r="B6" i="5" s="1"/>
  <c r="B7" i="5"/>
  <c r="B9" i="5"/>
  <c r="B11" i="5"/>
  <c r="B13" i="5"/>
  <c r="B15" i="5"/>
  <c r="B17" i="5"/>
  <c r="B19" i="5"/>
  <c r="B21" i="5"/>
  <c r="B23" i="5"/>
  <c r="B25" i="5"/>
  <c r="B27" i="5"/>
  <c r="B29" i="5"/>
  <c r="B31" i="5"/>
  <c r="F109" i="3"/>
  <c r="B109" i="3"/>
  <c r="I109" i="3"/>
  <c r="F108" i="3"/>
  <c r="B108" i="3"/>
  <c r="I108" i="3"/>
  <c r="F107" i="3"/>
  <c r="B107" i="3"/>
  <c r="I107" i="3"/>
  <c r="I104" i="3"/>
  <c r="I129" i="3" l="1"/>
  <c r="F45" i="5"/>
  <c r="F37" i="5"/>
  <c r="E45" i="5"/>
  <c r="D37" i="5"/>
  <c r="B45" i="5"/>
  <c r="B39" i="5"/>
  <c r="E33" i="5"/>
  <c r="C46" i="5"/>
  <c r="C44" i="5"/>
  <c r="C38" i="5"/>
  <c r="C33" i="5"/>
  <c r="F47" i="5"/>
  <c r="F43" i="5"/>
  <c r="E47" i="5"/>
  <c r="E43" i="5"/>
  <c r="B47" i="5"/>
  <c r="B43" i="5"/>
  <c r="C47" i="5"/>
  <c r="C45" i="5"/>
  <c r="C43" i="5"/>
  <c r="D6" i="5"/>
  <c r="C35" i="5"/>
  <c r="C39" i="5"/>
  <c r="C36" i="5"/>
  <c r="C37" i="5"/>
  <c r="C34" i="5"/>
  <c r="I122" i="3"/>
  <c r="L114" i="3"/>
  <c r="L110" i="3"/>
  <c r="L119" i="3"/>
  <c r="L117" i="3"/>
  <c r="L113" i="3"/>
  <c r="C42" i="5"/>
  <c r="B41" i="5"/>
  <c r="C41" i="5"/>
  <c r="F41" i="5"/>
  <c r="E41" i="5"/>
  <c r="C6" i="5"/>
  <c r="C40" i="5"/>
  <c r="D36" i="5"/>
  <c r="F39" i="5"/>
  <c r="E39" i="5"/>
  <c r="E36" i="5"/>
  <c r="D46" i="5"/>
  <c r="D44" i="5"/>
  <c r="D42" i="5"/>
  <c r="D40" i="5"/>
  <c r="B36" i="5"/>
  <c r="D34" i="5"/>
  <c r="F46" i="5"/>
  <c r="F44" i="5"/>
  <c r="F42" i="5"/>
  <c r="F40" i="5"/>
  <c r="F38" i="5"/>
  <c r="F36" i="5"/>
  <c r="E46" i="5"/>
  <c r="E44" i="5"/>
  <c r="E42" i="5"/>
  <c r="E40" i="5"/>
  <c r="E37" i="5"/>
  <c r="D1" i="7"/>
  <c r="G1" i="7" s="1"/>
  <c r="I7" i="7"/>
  <c r="E38" i="5"/>
  <c r="D38" i="5"/>
  <c r="E35" i="5"/>
  <c r="B35" i="5"/>
  <c r="F35" i="5"/>
  <c r="F33" i="5"/>
  <c r="E34" i="5"/>
  <c r="D33" i="5"/>
  <c r="F34" i="5"/>
  <c r="F106" i="3"/>
  <c r="H106" i="3"/>
  <c r="B106" i="3"/>
  <c r="F105" i="3"/>
  <c r="B105" i="3"/>
  <c r="I105" i="3"/>
  <c r="F104" i="3"/>
  <c r="B104" i="3"/>
  <c r="I106" i="3" l="1"/>
  <c r="L106" i="3"/>
  <c r="F103" i="3"/>
  <c r="B103" i="3"/>
  <c r="I103" i="3"/>
  <c r="C73" i="1" l="1"/>
  <c r="B73" i="1"/>
  <c r="F102" i="3" l="1"/>
  <c r="B102" i="3"/>
  <c r="I102" i="3"/>
  <c r="F101" i="3"/>
  <c r="B101" i="3"/>
  <c r="I101" i="3" l="1"/>
  <c r="F100" i="3"/>
  <c r="F97" i="3"/>
  <c r="F98" i="3"/>
  <c r="F99" i="3"/>
  <c r="F96" i="3"/>
  <c r="B100" i="3"/>
  <c r="I100" i="3"/>
  <c r="A43" i="6" l="1"/>
  <c r="A6" i="6"/>
  <c r="C6" i="6" s="1"/>
  <c r="A7" i="6"/>
  <c r="C7" i="6" s="1"/>
  <c r="A8" i="6"/>
  <c r="C8" i="6" s="1"/>
  <c r="A25" i="6"/>
  <c r="A38" i="6"/>
  <c r="A39" i="6"/>
  <c r="A46" i="6"/>
  <c r="A9" i="6"/>
  <c r="A42" i="6"/>
  <c r="A34" i="6"/>
  <c r="A27" i="6"/>
  <c r="A19" i="6"/>
  <c r="A22" i="6"/>
  <c r="A33" i="6"/>
  <c r="A10" i="6"/>
  <c r="A28" i="6"/>
  <c r="A26" i="6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B44" i="1"/>
  <c r="B45" i="1"/>
  <c r="B46" i="1"/>
  <c r="B47" i="1"/>
  <c r="B48" i="1"/>
  <c r="C44" i="1"/>
  <c r="C45" i="1"/>
  <c r="C46" i="1"/>
  <c r="C47" i="1"/>
  <c r="C48" i="1"/>
  <c r="F44" i="1"/>
  <c r="F45" i="1"/>
  <c r="F46" i="1"/>
  <c r="F47" i="1"/>
  <c r="F48" i="1"/>
  <c r="B43" i="1"/>
  <c r="C43" i="1"/>
  <c r="F43" i="1"/>
  <c r="D33" i="6" l="1"/>
  <c r="D34" i="6"/>
  <c r="D39" i="6"/>
  <c r="F25" i="6"/>
  <c r="D26" i="6"/>
  <c r="D10" i="6"/>
  <c r="D22" i="6"/>
  <c r="D27" i="6"/>
  <c r="D42" i="6"/>
  <c r="D46" i="6"/>
  <c r="D38" i="6"/>
  <c r="F33" i="6"/>
  <c r="F34" i="6"/>
  <c r="F39" i="6"/>
  <c r="C28" i="6"/>
  <c r="C33" i="6"/>
  <c r="C19" i="6"/>
  <c r="C34" i="6"/>
  <c r="C9" i="6"/>
  <c r="C39" i="6"/>
  <c r="F28" i="6"/>
  <c r="F19" i="6"/>
  <c r="F9" i="6"/>
  <c r="D28" i="6"/>
  <c r="D19" i="6"/>
  <c r="D9" i="6"/>
  <c r="C25" i="6"/>
  <c r="D25" i="6"/>
  <c r="C43" i="6"/>
  <c r="C26" i="6"/>
  <c r="C10" i="6"/>
  <c r="C22" i="6"/>
  <c r="C27" i="6"/>
  <c r="C42" i="6"/>
  <c r="C46" i="6"/>
  <c r="C38" i="6"/>
  <c r="F8" i="6"/>
  <c r="E8" i="6"/>
  <c r="E6" i="6"/>
  <c r="D8" i="6"/>
  <c r="D6" i="6"/>
  <c r="F26" i="6"/>
  <c r="F10" i="6"/>
  <c r="F22" i="6"/>
  <c r="F27" i="6"/>
  <c r="F42" i="6"/>
  <c r="F46" i="6"/>
  <c r="F38" i="6"/>
  <c r="F7" i="6"/>
  <c r="F43" i="6"/>
  <c r="E7" i="6"/>
  <c r="D7" i="6"/>
  <c r="D43" i="6"/>
  <c r="B8" i="6" l="1"/>
  <c r="B7" i="6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A32" i="6"/>
  <c r="A23" i="6"/>
  <c r="A40" i="6"/>
  <c r="A16" i="6"/>
  <c r="A21" i="6"/>
  <c r="A37" i="6"/>
  <c r="A14" i="6"/>
  <c r="A18" i="6"/>
  <c r="A12" i="6"/>
  <c r="A24" i="6"/>
  <c r="A44" i="6"/>
  <c r="A41" i="6"/>
  <c r="A31" i="6"/>
  <c r="A11" i="6"/>
  <c r="A36" i="6"/>
  <c r="A15" i="6"/>
  <c r="A35" i="6"/>
  <c r="A30" i="6"/>
  <c r="A13" i="6"/>
  <c r="A45" i="6"/>
  <c r="A20" i="6"/>
  <c r="A17" i="6"/>
  <c r="A29" i="6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5" i="1"/>
  <c r="F6" i="1"/>
  <c r="F7" i="1"/>
  <c r="F8" i="1"/>
  <c r="F9" i="1"/>
  <c r="F10" i="1"/>
  <c r="F11" i="1"/>
  <c r="F4" i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3" i="3"/>
  <c r="F18" i="5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H83" i="3"/>
  <c r="H82" i="3"/>
  <c r="I81" i="3"/>
  <c r="H80" i="3"/>
  <c r="I79" i="3"/>
  <c r="H78" i="3"/>
  <c r="H77" i="3"/>
  <c r="H76" i="3"/>
  <c r="H75" i="3"/>
  <c r="H74" i="3"/>
  <c r="H73" i="3"/>
  <c r="I72" i="3"/>
  <c r="H71" i="3"/>
  <c r="I70" i="3"/>
  <c r="H69" i="3"/>
  <c r="I68" i="3"/>
  <c r="I67" i="3"/>
  <c r="H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H51" i="3"/>
  <c r="I50" i="3"/>
  <c r="H49" i="3"/>
  <c r="I48" i="3"/>
  <c r="H47" i="3"/>
  <c r="I46" i="3"/>
  <c r="I45" i="3"/>
  <c r="I44" i="3"/>
  <c r="I43" i="3"/>
  <c r="I42" i="3"/>
  <c r="H41" i="3"/>
  <c r="I40" i="3"/>
  <c r="I39" i="3"/>
  <c r="I38" i="3"/>
  <c r="I37" i="3"/>
  <c r="I36" i="3"/>
  <c r="I35" i="3"/>
  <c r="I34" i="3"/>
  <c r="I33" i="3"/>
  <c r="H32" i="3"/>
  <c r="I31" i="3"/>
  <c r="I30" i="3"/>
  <c r="I29" i="3"/>
  <c r="I28" i="3"/>
  <c r="I27" i="3"/>
  <c r="I26" i="3"/>
  <c r="H25" i="3"/>
  <c r="I24" i="3"/>
  <c r="I23" i="3"/>
  <c r="I22" i="3"/>
  <c r="I21" i="3"/>
  <c r="I20" i="3"/>
  <c r="I19" i="3"/>
  <c r="H18" i="3"/>
  <c r="H17" i="3"/>
  <c r="I16" i="3"/>
  <c r="I15" i="3"/>
  <c r="I14" i="3"/>
  <c r="H13" i="3"/>
  <c r="H12" i="3"/>
  <c r="H11" i="3"/>
  <c r="I10" i="3"/>
  <c r="H9" i="3"/>
  <c r="H8" i="3"/>
  <c r="H7" i="3"/>
  <c r="H6" i="3"/>
  <c r="I5" i="3"/>
  <c r="I4" i="3"/>
  <c r="H3" i="3"/>
  <c r="I6" i="3" l="1"/>
  <c r="L6" i="3"/>
  <c r="I8" i="3"/>
  <c r="L8" i="3"/>
  <c r="I12" i="3"/>
  <c r="L12" i="3"/>
  <c r="I18" i="3"/>
  <c r="L18" i="3"/>
  <c r="I32" i="3"/>
  <c r="L32" i="3"/>
  <c r="I66" i="3"/>
  <c r="L66" i="3"/>
  <c r="I74" i="3"/>
  <c r="L74" i="3"/>
  <c r="I76" i="3"/>
  <c r="L76" i="3"/>
  <c r="I78" i="3"/>
  <c r="L78" i="3"/>
  <c r="I80" i="3"/>
  <c r="L80" i="3"/>
  <c r="I82" i="3"/>
  <c r="L82" i="3"/>
  <c r="I3" i="3"/>
  <c r="L3" i="3"/>
  <c r="I7" i="3"/>
  <c r="L7" i="3"/>
  <c r="I9" i="3"/>
  <c r="L9" i="3"/>
  <c r="L11" i="3"/>
  <c r="I11" i="3"/>
  <c r="I13" i="3"/>
  <c r="L13" i="3"/>
  <c r="I17" i="3"/>
  <c r="L17" i="3"/>
  <c r="I25" i="3"/>
  <c r="L25" i="3"/>
  <c r="I41" i="3"/>
  <c r="L41" i="3"/>
  <c r="I47" i="3"/>
  <c r="L47" i="3"/>
  <c r="I49" i="3"/>
  <c r="L49" i="3"/>
  <c r="I51" i="3"/>
  <c r="L51" i="3"/>
  <c r="I69" i="3"/>
  <c r="L69" i="3"/>
  <c r="I71" i="3"/>
  <c r="L71" i="3"/>
  <c r="I73" i="3"/>
  <c r="L73" i="3"/>
  <c r="I75" i="3"/>
  <c r="L75" i="3"/>
  <c r="I77" i="3"/>
  <c r="L77" i="3"/>
  <c r="I83" i="3"/>
  <c r="L83" i="3"/>
  <c r="E6" i="5"/>
  <c r="C23" i="5"/>
  <c r="C25" i="5"/>
  <c r="C29" i="5"/>
  <c r="D9" i="5"/>
  <c r="D7" i="5"/>
  <c r="E22" i="5"/>
  <c r="D41" i="6"/>
  <c r="F10" i="5"/>
  <c r="F7" i="5"/>
  <c r="F32" i="5"/>
  <c r="F15" i="5"/>
  <c r="F21" i="5"/>
  <c r="E28" i="5"/>
  <c r="E8" i="5"/>
  <c r="E24" i="5"/>
  <c r="F16" i="5"/>
  <c r="F9" i="5"/>
  <c r="E29" i="5"/>
  <c r="E30" i="5"/>
  <c r="E25" i="5"/>
  <c r="E31" i="5"/>
  <c r="E26" i="5"/>
  <c r="E12" i="5"/>
  <c r="F17" i="5"/>
  <c r="F13" i="5"/>
  <c r="F27" i="5"/>
  <c r="F20" i="5"/>
  <c r="E23" i="5"/>
  <c r="E19" i="5"/>
  <c r="F11" i="5"/>
  <c r="F14" i="5"/>
  <c r="F17" i="6"/>
  <c r="C17" i="6"/>
  <c r="D13" i="6"/>
  <c r="E45" i="6"/>
  <c r="F45" i="6"/>
  <c r="F35" i="6"/>
  <c r="E35" i="6"/>
  <c r="E11" i="6"/>
  <c r="F11" i="6"/>
  <c r="E24" i="6"/>
  <c r="F24" i="6"/>
  <c r="F18" i="6"/>
  <c r="E18" i="6"/>
  <c r="F14" i="6"/>
  <c r="E14" i="6"/>
  <c r="F40" i="6"/>
  <c r="E41" i="6"/>
  <c r="F41" i="6"/>
  <c r="E40" i="6"/>
  <c r="F29" i="6"/>
  <c r="E29" i="6"/>
  <c r="E20" i="6"/>
  <c r="F20" i="6"/>
  <c r="E30" i="6"/>
  <c r="F30" i="6"/>
  <c r="E15" i="6"/>
  <c r="F15" i="6"/>
  <c r="F36" i="6"/>
  <c r="E36" i="6"/>
  <c r="F31" i="6"/>
  <c r="E31" i="6"/>
  <c r="F44" i="6"/>
  <c r="F13" i="6"/>
  <c r="E13" i="6"/>
  <c r="F12" i="6"/>
  <c r="E12" i="6"/>
  <c r="F37" i="6"/>
  <c r="E37" i="6"/>
  <c r="F16" i="6"/>
  <c r="E16" i="6"/>
  <c r="E23" i="6"/>
  <c r="F23" i="6"/>
  <c r="F32" i="6"/>
  <c r="D45" i="6"/>
  <c r="D35" i="6"/>
  <c r="D24" i="6"/>
  <c r="D18" i="6"/>
  <c r="D14" i="6"/>
  <c r="D29" i="6"/>
  <c r="D20" i="6"/>
  <c r="D30" i="6"/>
  <c r="D15" i="6"/>
  <c r="D36" i="6"/>
  <c r="D37" i="6"/>
  <c r="D16" i="6"/>
  <c r="D17" i="6"/>
  <c r="D11" i="6"/>
  <c r="D31" i="6"/>
  <c r="D44" i="6"/>
  <c r="D12" i="6"/>
  <c r="D23" i="6"/>
  <c r="D32" i="6"/>
  <c r="D21" i="6"/>
  <c r="D40" i="6"/>
  <c r="D22" i="5"/>
  <c r="E16" i="5"/>
  <c r="E32" i="5"/>
  <c r="E21" i="5"/>
  <c r="F22" i="5"/>
  <c r="F30" i="5"/>
  <c r="F28" i="5"/>
  <c r="F24" i="5"/>
  <c r="C30" i="5"/>
  <c r="C28" i="5"/>
  <c r="D32" i="5"/>
  <c r="D21" i="5"/>
  <c r="E7" i="5"/>
  <c r="E9" i="5"/>
  <c r="E15" i="5"/>
  <c r="F6" i="5"/>
  <c r="F29" i="5"/>
  <c r="F25" i="5"/>
  <c r="F8" i="5"/>
  <c r="E18" i="5"/>
  <c r="E10" i="5"/>
  <c r="E11" i="5"/>
  <c r="E14" i="5"/>
  <c r="E17" i="5"/>
  <c r="E13" i="5"/>
  <c r="E27" i="5"/>
  <c r="E20" i="5"/>
  <c r="F23" i="5"/>
  <c r="F19" i="5"/>
  <c r="F31" i="5"/>
  <c r="F26" i="5"/>
  <c r="F12" i="5"/>
  <c r="D11" i="5"/>
  <c r="D14" i="5"/>
  <c r="D13" i="5"/>
  <c r="C19" i="5"/>
  <c r="D17" i="5"/>
  <c r="D27" i="5"/>
  <c r="C31" i="5"/>
  <c r="D18" i="5"/>
  <c r="D10" i="5"/>
  <c r="D16" i="5"/>
  <c r="D20" i="5"/>
  <c r="D15" i="5"/>
  <c r="D8" i="5"/>
  <c r="D24" i="5"/>
  <c r="D26" i="5"/>
  <c r="D12" i="5"/>
  <c r="D29" i="5"/>
  <c r="D30" i="5"/>
  <c r="D25" i="5"/>
  <c r="D23" i="5"/>
  <c r="D19" i="5"/>
  <c r="D28" i="5"/>
  <c r="D31" i="5"/>
  <c r="C8" i="5"/>
  <c r="C24" i="5"/>
  <c r="C26" i="5"/>
  <c r="C12" i="5"/>
  <c r="C7" i="5"/>
  <c r="C11" i="5"/>
  <c r="C14" i="5"/>
  <c r="C16" i="5"/>
  <c r="C9" i="5"/>
  <c r="C17" i="5"/>
  <c r="C13" i="5"/>
  <c r="C27" i="5"/>
  <c r="C20" i="5"/>
  <c r="C32" i="5"/>
  <c r="C15" i="5"/>
  <c r="C21" i="5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73" i="1"/>
  <c r="I73" i="1" s="1"/>
  <c r="F6" i="6" s="1"/>
  <c r="B6" i="6" s="1"/>
  <c r="H72" i="1"/>
  <c r="I72" i="1" s="1"/>
  <c r="F21" i="6" s="1"/>
  <c r="H71" i="1"/>
  <c r="I71" i="1" s="1"/>
  <c r="H70" i="1"/>
  <c r="I70" i="1" s="1"/>
  <c r="H69" i="1"/>
  <c r="I69" i="1" s="1"/>
  <c r="H68" i="1"/>
  <c r="I68" i="1" s="1"/>
  <c r="H67" i="1"/>
  <c r="I67" i="1" s="1"/>
  <c r="E43" i="6" s="1"/>
  <c r="B43" i="6" s="1"/>
  <c r="H66" i="1"/>
  <c r="I66" i="1" s="1"/>
  <c r="H65" i="1"/>
  <c r="I65" i="1" s="1"/>
  <c r="H64" i="1"/>
  <c r="I64" i="1" s="1"/>
  <c r="H63" i="1"/>
  <c r="I63" i="1" s="1"/>
  <c r="H62" i="1"/>
  <c r="I62" i="1" s="1"/>
  <c r="E25" i="6" s="1"/>
  <c r="B25" i="6" s="1"/>
  <c r="H61" i="1"/>
  <c r="I61" i="1" s="1"/>
  <c r="E32" i="6" s="1"/>
  <c r="H60" i="1"/>
  <c r="I60" i="1" s="1"/>
  <c r="H59" i="1"/>
  <c r="I59" i="1" s="1"/>
  <c r="E26" i="6" s="1"/>
  <c r="B26" i="6" s="1"/>
  <c r="I58" i="1"/>
  <c r="E28" i="6" s="1"/>
  <c r="B28" i="6" s="1"/>
  <c r="H57" i="1"/>
  <c r="I57" i="1" s="1"/>
  <c r="E10" i="6" s="1"/>
  <c r="B10" i="6" s="1"/>
  <c r="H56" i="1"/>
  <c r="I56" i="1" s="1"/>
  <c r="E33" i="6" s="1"/>
  <c r="B33" i="6" s="1"/>
  <c r="H55" i="1"/>
  <c r="I55" i="1" s="1"/>
  <c r="E22" i="6" s="1"/>
  <c r="B22" i="6" s="1"/>
  <c r="I54" i="1"/>
  <c r="E19" i="6" s="1"/>
  <c r="B19" i="6" s="1"/>
  <c r="H53" i="1"/>
  <c r="I53" i="1" s="1"/>
  <c r="E27" i="6" s="1"/>
  <c r="B27" i="6" s="1"/>
  <c r="H52" i="1"/>
  <c r="I52" i="1" s="1"/>
  <c r="E34" i="6" s="1"/>
  <c r="B34" i="6" s="1"/>
  <c r="H51" i="1"/>
  <c r="I51" i="1" s="1"/>
  <c r="H50" i="1"/>
  <c r="I50" i="1" s="1"/>
  <c r="E42" i="6" s="1"/>
  <c r="B42" i="6" s="1"/>
  <c r="H49" i="1"/>
  <c r="I49" i="1" s="1"/>
  <c r="H48" i="1"/>
  <c r="I48" i="1" s="1"/>
  <c r="H47" i="1"/>
  <c r="I47" i="1" s="1"/>
  <c r="H46" i="1"/>
  <c r="I46" i="1" s="1"/>
  <c r="E46" i="6" s="1"/>
  <c r="B46" i="6" s="1"/>
  <c r="H45" i="1"/>
  <c r="I45" i="1" s="1"/>
  <c r="E39" i="6" s="1"/>
  <c r="B39" i="6" s="1"/>
  <c r="H44" i="1"/>
  <c r="I44" i="1" s="1"/>
  <c r="I43" i="1"/>
  <c r="E17" i="6" s="1"/>
  <c r="H42" i="1"/>
  <c r="I42" i="1" s="1"/>
  <c r="H41" i="1"/>
  <c r="H40" i="1"/>
  <c r="I40" i="1" s="1"/>
  <c r="H39" i="1"/>
  <c r="I39" i="1" s="1"/>
  <c r="C20" i="6" s="1"/>
  <c r="H38" i="1"/>
  <c r="I38" i="1" s="1"/>
  <c r="H37" i="1"/>
  <c r="I37" i="1" s="1"/>
  <c r="H36" i="1"/>
  <c r="I36" i="1" s="1"/>
  <c r="H35" i="1"/>
  <c r="I35" i="1" s="1"/>
  <c r="H34" i="1"/>
  <c r="I34" i="1" s="1"/>
  <c r="C45" i="6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C30" i="6" s="1"/>
  <c r="I26" i="1"/>
  <c r="C35" i="6" s="1"/>
  <c r="G25" i="1"/>
  <c r="H24" i="1"/>
  <c r="I24" i="1" s="1"/>
  <c r="H23" i="1"/>
  <c r="I23" i="1" s="1"/>
  <c r="C36" i="6" s="1"/>
  <c r="G22" i="1"/>
  <c r="H22" i="1" s="1"/>
  <c r="H21" i="1"/>
  <c r="I21" i="1" s="1"/>
  <c r="C31" i="6" s="1"/>
  <c r="H20" i="1"/>
  <c r="I20" i="1" s="1"/>
  <c r="H19" i="1"/>
  <c r="I19" i="1" s="1"/>
  <c r="H18" i="1"/>
  <c r="I18" i="1" s="1"/>
  <c r="C24" i="6" s="1"/>
  <c r="H17" i="1"/>
  <c r="I17" i="1" s="1"/>
  <c r="H16" i="1"/>
  <c r="I16" i="1" s="1"/>
  <c r="H15" i="1"/>
  <c r="I15" i="1" s="1"/>
  <c r="H14" i="1"/>
  <c r="I14" i="1" s="1"/>
  <c r="C18" i="6" s="1"/>
  <c r="H13" i="1"/>
  <c r="I13" i="1" s="1"/>
  <c r="H12" i="1"/>
  <c r="I12" i="1" s="1"/>
  <c r="C14" i="6" s="1"/>
  <c r="H11" i="1"/>
  <c r="I11" i="1" s="1"/>
  <c r="C37" i="6" s="1"/>
  <c r="H10" i="1"/>
  <c r="I10" i="1" s="1"/>
  <c r="H9" i="1"/>
  <c r="I9" i="1" s="1"/>
  <c r="C16" i="6" s="1"/>
  <c r="H8" i="1"/>
  <c r="I8" i="1" s="1"/>
  <c r="C40" i="6" s="1"/>
  <c r="H7" i="1"/>
  <c r="I7" i="1" s="1"/>
  <c r="C23" i="6" s="1"/>
  <c r="H6" i="1"/>
  <c r="I6" i="1" s="1"/>
  <c r="H5" i="1"/>
  <c r="I5" i="1" s="1"/>
  <c r="H4" i="1"/>
  <c r="I4" i="1" s="1"/>
  <c r="C29" i="6" s="1"/>
  <c r="L1" i="3" l="1"/>
  <c r="C21" i="6"/>
  <c r="C32" i="6"/>
  <c r="C12" i="6"/>
  <c r="B12" i="6" s="1"/>
  <c r="C44" i="6"/>
  <c r="E9" i="6"/>
  <c r="B9" i="6" s="1"/>
  <c r="C13" i="6"/>
  <c r="B13" i="6" s="1"/>
  <c r="C41" i="6"/>
  <c r="B41" i="6" s="1"/>
  <c r="E38" i="6"/>
  <c r="B38" i="6" s="1"/>
  <c r="B17" i="6"/>
  <c r="E21" i="6"/>
  <c r="E44" i="6"/>
  <c r="B14" i="6"/>
  <c r="B16" i="6"/>
  <c r="B37" i="6"/>
  <c r="B31" i="6"/>
  <c r="B36" i="6"/>
  <c r="B30" i="6"/>
  <c r="B20" i="6"/>
  <c r="B18" i="6"/>
  <c r="B24" i="6"/>
  <c r="B35" i="6"/>
  <c r="B45" i="6"/>
  <c r="B40" i="6"/>
  <c r="D4" i="6"/>
  <c r="F4" i="6"/>
  <c r="B32" i="6"/>
  <c r="B23" i="6"/>
  <c r="B29" i="6"/>
  <c r="I22" i="1"/>
  <c r="F4" i="5"/>
  <c r="D4" i="5"/>
  <c r="E4" i="5"/>
  <c r="C4" i="5"/>
  <c r="H25" i="1"/>
  <c r="I25" i="1" s="1"/>
  <c r="C15" i="6" s="1"/>
  <c r="B21" i="6" l="1"/>
  <c r="O2" i="1"/>
  <c r="C11" i="6"/>
  <c r="B11" i="6" s="1"/>
  <c r="E4" i="6"/>
  <c r="B44" i="6"/>
  <c r="O1" i="1"/>
  <c r="B15" i="6"/>
  <c r="C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12" authorId="0" shapeId="0" xr:uid="{194727E8-6234-41A1-ACA5-54FA615F5F6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<sst xmlns="http://schemas.openxmlformats.org/spreadsheetml/2006/main" count="608" uniqueCount="350">
  <si>
    <t>COMPRAS JOSE ANDRES CORTES</t>
  </si>
  <si>
    <t>TOTAL COMPRAS</t>
  </si>
  <si>
    <t>TOTAL IVA</t>
  </si>
  <si>
    <t>FECHA</t>
  </si>
  <si>
    <t>FACTURA</t>
  </si>
  <si>
    <t>PROVEEDOR</t>
  </si>
  <si>
    <t>NIT</t>
  </si>
  <si>
    <t>VALOR</t>
  </si>
  <si>
    <t>IVA</t>
  </si>
  <si>
    <t>TOTAL</t>
  </si>
  <si>
    <t>DESCRIPCION</t>
  </si>
  <si>
    <t>INDUSTRIAS JB S.A.S</t>
  </si>
  <si>
    <t>890.923.680-0</t>
  </si>
  <si>
    <t>CAMBIO DE MOFLE CAMIONETA</t>
  </si>
  <si>
    <t>LUZ MARINA PAMPLONA</t>
  </si>
  <si>
    <t>42.765.696-1</t>
  </si>
  <si>
    <t>GRAPA</t>
  </si>
  <si>
    <t>THINNER</t>
  </si>
  <si>
    <t>ESPINTURAS S.A.S</t>
  </si>
  <si>
    <t>900.113.676-9</t>
  </si>
  <si>
    <t>VINILTEX PLASTEL</t>
  </si>
  <si>
    <t>PRODUCTOS COPLAST</t>
  </si>
  <si>
    <t>890.928.831-7</t>
  </si>
  <si>
    <t>20 BOLSAS PLASTICAS 110X70</t>
  </si>
  <si>
    <t>CENCOSUD COLOMBIA S.A</t>
  </si>
  <si>
    <t>900.155.107-1</t>
  </si>
  <si>
    <t>PAÑO-LLANTAX</t>
  </si>
  <si>
    <t>860.075.208-7</t>
  </si>
  <si>
    <t>PEGANTE 689</t>
  </si>
  <si>
    <t>PC CHAMPION S.A.S</t>
  </si>
  <si>
    <t>830.022.380-1</t>
  </si>
  <si>
    <t>1/4 ACEITE 20W50</t>
  </si>
  <si>
    <t>AREA TUNNING LUJOS Y SONIDOS S.A.S</t>
  </si>
  <si>
    <t>BOMBILLOS</t>
  </si>
  <si>
    <t>3.1 LONA ESPAÑA GRIS</t>
  </si>
  <si>
    <t>CENTRO DE SERVICIOS BELLO S.A.S.</t>
  </si>
  <si>
    <t>811.000.785-5</t>
  </si>
  <si>
    <t>CDA MNV811</t>
  </si>
  <si>
    <t>ANDRES FERNEY PUERTA</t>
  </si>
  <si>
    <t>71.212.993-7</t>
  </si>
  <si>
    <t>ELECTRICOS</t>
  </si>
  <si>
    <t>FERROSVEL S.A.S</t>
  </si>
  <si>
    <t>890.910.715-1</t>
  </si>
  <si>
    <t>TUBO CUAD 40X40X2</t>
  </si>
  <si>
    <t>SODIMAC COLOMBIA</t>
  </si>
  <si>
    <t>800.242.106-2</t>
  </si>
  <si>
    <t>PISTOLA SOPLADORA</t>
  </si>
  <si>
    <t>JUAN F. ESTRADA</t>
  </si>
  <si>
    <t>71.315.681-7</t>
  </si>
  <si>
    <t>MEDIA ARGOLLA</t>
  </si>
  <si>
    <t>ALMACENES CORONA S.A.S</t>
  </si>
  <si>
    <t>860.500.480-8</t>
  </si>
  <si>
    <t>PEGACOR-LISTON-PARED NEGRO</t>
  </si>
  <si>
    <t>MATERIALES SU CONSTRUCCION S.A</t>
  </si>
  <si>
    <t>800.147.650-1</t>
  </si>
  <si>
    <t>SIFON-CANASTILLA</t>
  </si>
  <si>
    <t>LECHADA BLANCA</t>
  </si>
  <si>
    <t>AUTOLATAS S.A.S</t>
  </si>
  <si>
    <t>901.165.210-7</t>
  </si>
  <si>
    <t>ARO DER. MAZDA</t>
  </si>
  <si>
    <t>MATERIALES EL TITAN 1 S.A.S</t>
  </si>
  <si>
    <t>811.023.960-7</t>
  </si>
  <si>
    <t>BLOQUELON</t>
  </si>
  <si>
    <t>J&amp;J ASOCIADOS</t>
  </si>
  <si>
    <t>811.047.183-4</t>
  </si>
  <si>
    <t>2 GRUESAS DE OJALETES 5/8</t>
  </si>
  <si>
    <t>5.3 LONA ESPAÑA AZUL</t>
  </si>
  <si>
    <t>KORAZA VERDE</t>
  </si>
  <si>
    <t>PEGANTE MAXON</t>
  </si>
  <si>
    <t>VARIOS</t>
  </si>
  <si>
    <t>PORTAROLLO-TAPAS CABLES</t>
  </si>
  <si>
    <t>VINILO CAL 400</t>
  </si>
  <si>
    <t>SOFIA POSADA S.A.S</t>
  </si>
  <si>
    <t>901.099.232-6</t>
  </si>
  <si>
    <t>YUMBOLON 15MM-PEGANTES</t>
  </si>
  <si>
    <t>RIATA ASCESORIOS</t>
  </si>
  <si>
    <t>TORNILLOS-CERRADURA</t>
  </si>
  <si>
    <t>CAMPANA-VINILTEX-LIJAS</t>
  </si>
  <si>
    <t>PISO SOLNA ARD CAFÉ</t>
  </si>
  <si>
    <t>COEXITO S.A.S</t>
  </si>
  <si>
    <t>890.300.225-7</t>
  </si>
  <si>
    <t>ACEITE SEA 20W50</t>
  </si>
  <si>
    <t>CLIENTE</t>
  </si>
  <si>
    <t>RTE FTE</t>
  </si>
  <si>
    <t>ALGAMAR S.A</t>
  </si>
  <si>
    <t>890.907.797-4</t>
  </si>
  <si>
    <t>14 SOMBRILLAS 1.8X1.8 LONA HURACAN</t>
  </si>
  <si>
    <t>HPTU</t>
  </si>
  <si>
    <t>890.901.826-2</t>
  </si>
  <si>
    <t>ALQUILER DE CARPA Y CORTINAS 3 CAMPAÑAS</t>
  </si>
  <si>
    <t>EFITRANS</t>
  </si>
  <si>
    <t>811.028.194-4</t>
  </si>
  <si>
    <t>SOMBRILLA EN MADERA</t>
  </si>
  <si>
    <t>EL TESORO ENTRETENIMIENTO</t>
  </si>
  <si>
    <t>900.534.009-2</t>
  </si>
  <si>
    <t>REPARACION DE 7 BALONES Y TRANSPORTE</t>
  </si>
  <si>
    <t>18 SOMBRILLAS 1.8X1.8 LONA HURACAN</t>
  </si>
  <si>
    <t>REPARACION DE 8 BALONES Y TRANSPORTE</t>
  </si>
  <si>
    <t>REIMPEX S.A</t>
  </si>
  <si>
    <t>890.939.592-0</t>
  </si>
  <si>
    <t>ELECTRODOS-LONA Y MALLA-INDUCCION</t>
  </si>
  <si>
    <t>URBANIZACION SAINT PIERRE P.H</t>
  </si>
  <si>
    <t>900.730.853-0</t>
  </si>
  <si>
    <t>LONA TERMICA PROTECTORA</t>
  </si>
  <si>
    <t>URBANIZACION SAINT MARTEEN P.H</t>
  </si>
  <si>
    <t>900.730.967-3</t>
  </si>
  <si>
    <t>LONA PROTECTOR DE SOMBRILLA-LONA ARENERO</t>
  </si>
  <si>
    <t>REPARACION DE 10 BALONES Y TRANSPORTE</t>
  </si>
  <si>
    <t>5 SOMBRILLAS 1.8X1.8 LONA HURACAN</t>
  </si>
  <si>
    <t>HECKCACOL SERVICIOS INDUSTRIALES S.A.S</t>
  </si>
  <si>
    <t>900.678.158-1</t>
  </si>
  <si>
    <t>LONA PROTECTORA DE ASCENSOR</t>
  </si>
  <si>
    <t>REPARACION DE 6 BALONES Y TRANSPORTE</t>
  </si>
  <si>
    <t>PLATAFORMA LOGISTICA Y COMERCIAL S.A.S</t>
  </si>
  <si>
    <t>901.092.692-9</t>
  </si>
  <si>
    <t>ALQUILER DE LOCAL CRA 49#86-04 , MAYO 2018</t>
  </si>
  <si>
    <t>ALQUILER DE LOCAL CRA 49#86-04 , JUNIO 2018</t>
  </si>
  <si>
    <t>REPARACION DE 4 BALONES Y TARSNPORTE</t>
  </si>
  <si>
    <t>REPARION DE 5 BALONES Y TRASNPORTE</t>
  </si>
  <si>
    <t>REPARACION DE 3 BALONES Y TRANSPORTE</t>
  </si>
  <si>
    <t>REPARACIONN DE 7 BALONES Y TRASNPORTE</t>
  </si>
  <si>
    <t>REPARACION DE 9 BALONES Y TRASNPORTE</t>
  </si>
  <si>
    <t>7 SOMBRILLAS 1.8X1.8</t>
  </si>
  <si>
    <t>REPARACION DE 2 BALONES Y TRASNPORTE</t>
  </si>
  <si>
    <t>RISKS &amp; PROTECTION LTDA</t>
  </si>
  <si>
    <t>900.171.792-2</t>
  </si>
  <si>
    <t>FABRICACION DE LONA PARA SOMBRILLA</t>
  </si>
  <si>
    <t>CARLOS MARIO MOLINA V</t>
  </si>
  <si>
    <t>98.640.058-9</t>
  </si>
  <si>
    <t>LONA PROTECTORA JACUZZI TORRE YINAN</t>
  </si>
  <si>
    <t>REPARACION DE INFLABLE</t>
  </si>
  <si>
    <t>ALQUILER DE LOCAL CRA 49#86-04 , JULIO 2018</t>
  </si>
  <si>
    <t>REPARACION DE 11 BALONES Y TRASNPORTE</t>
  </si>
  <si>
    <t>REPARACION DE 5 BALONES Y TRASNPORTE</t>
  </si>
  <si>
    <t>ARREGLO DE SOMBRILLAS</t>
  </si>
  <si>
    <t>ALQUILER DE LOCAL CRA 49#86-04 , AGOSTO 2018</t>
  </si>
  <si>
    <t>REPARACION DE 12 BALONES Y TRASNPORTE</t>
  </si>
  <si>
    <t>SINTRABANCOL</t>
  </si>
  <si>
    <t>860.013.526-9</t>
  </si>
  <si>
    <t>FORRO PROTECTOR ESTUFA INDUSTRIAL LONA HURACAN</t>
  </si>
  <si>
    <t>FIJACIONES OROZCO S.A.S</t>
  </si>
  <si>
    <t>900.378.955-6</t>
  </si>
  <si>
    <t>COSTURA DE AVISO EN ENRROLLABLE</t>
  </si>
  <si>
    <t>ALQUILER DE LOCAL CRA 49#86-04 , SEPTIEMBRE 2018</t>
  </si>
  <si>
    <t>GABRIEL ARTURO ALZATE</t>
  </si>
  <si>
    <t>8.277.443-8</t>
  </si>
  <si>
    <t>PROTECCION DE MURO OBRA EL BOSQUEEN LONA ACRILICA</t>
  </si>
  <si>
    <t>PROTECTOR JACUZZI ED. FUENTE CLARA</t>
  </si>
  <si>
    <t>ALQUILER DE LOCAL CRA 49#86-04 , OCTUBRE 2018</t>
  </si>
  <si>
    <t>ALQUILER DE LOCAL CRA 49#86-04 , NOVIEMBRE 2018</t>
  </si>
  <si>
    <t>ALQUILER DE LOCAL CRA 49#86-04 , DICIEMBRE 2018</t>
  </si>
  <si>
    <t>REPARACION DE 6 BALONES, 1 BALON CORREAS Y TRANSPORTE</t>
  </si>
  <si>
    <t>ALQUILER DE LOCAL CRA 49#86-04 , ENERO 2019</t>
  </si>
  <si>
    <t>ALQUILER DE LOCAL CRA 49#86-04 , FEBRERO 2019</t>
  </si>
  <si>
    <t>REPARACION DE 4 BALONES Y TRANSPORTE</t>
  </si>
  <si>
    <t>ALQUILER DE LOCAL CRA 49#86-04 , MARZO 2019</t>
  </si>
  <si>
    <t>REPARACION DE PUERTA BRINCA BRINCA</t>
  </si>
  <si>
    <t>ALQUILER DE LOCAL CRA 49#86-04 , ABRIL 2019</t>
  </si>
  <si>
    <t>3 HORAS DE INDUCCION DE SELLADORA</t>
  </si>
  <si>
    <t>MANO DE OBRA ELABORACION DE 3 CORTINAS</t>
  </si>
  <si>
    <t>ALQUILER DE LOCAL CRA 49#86-04 , MAYO 2019</t>
  </si>
  <si>
    <t>ALQUILER DE LOCAL CRA 49#86-04 , JUNIO 2019</t>
  </si>
  <si>
    <t>ALQUILER DE LOCAL CRA 49#86-04 , JULIO 2019</t>
  </si>
  <si>
    <t>CENTRO MEDICO VETERINARIO BELLOS CANES</t>
  </si>
  <si>
    <t>901.061.785-2</t>
  </si>
  <si>
    <t>FABRICACION DE DESCANSA PIES</t>
  </si>
  <si>
    <t>ALQUILER DE LOCAL CRA 49#86-04 , AGOSTO 2019</t>
  </si>
  <si>
    <t>EFITRANS S.A.S</t>
  </si>
  <si>
    <t>CARPA 4X4 EN BRIGADIER CON PUBLICIDAD, PINTURA DE ESTRUCTURA</t>
  </si>
  <si>
    <t>ALQUILER DE LOCAL CRA 49#86-04 , SEPTIEMBRE 2019</t>
  </si>
  <si>
    <t>ALQUILER DE LOCAL CRA 49#86-04 , OCTUBRE 2019</t>
  </si>
  <si>
    <t>INGENIERIA EFICIENTE DEL AIRE S.A.S</t>
  </si>
  <si>
    <t>900.729.224-8</t>
  </si>
  <si>
    <t>4 JUNTAS CIRCULARES $52.000--1 JUNTA RECTAGULAR $ 62.000</t>
  </si>
  <si>
    <t>TRANSPORTE Y TURISMO 1A S.A.S</t>
  </si>
  <si>
    <t>811.010.604-3</t>
  </si>
  <si>
    <t xml:space="preserve">CORTINAS PROTECTORAS VEHICULOS 8 LOGAN-4 DUSTER $33.000 </t>
  </si>
  <si>
    <t>ELEVEMOS S.A.S</t>
  </si>
  <si>
    <t>900.790.148-4</t>
  </si>
  <si>
    <t>3 LONAS PROTECTORAS UND. PUERTO MADERA</t>
  </si>
  <si>
    <t>60 PROTECTORES EXTERNOS $5.000</t>
  </si>
  <si>
    <t>100 PROTECTORES BOTONERAS EXTERNAS $5.000</t>
  </si>
  <si>
    <t>20 PROTECTORES BOTONERAS INTERNA$13.000</t>
  </si>
  <si>
    <t>PROTECTOR PARA MESA</t>
  </si>
  <si>
    <t>LONA PROTECTORA CAÑAVERAL</t>
  </si>
  <si>
    <t>PROELECTRA DE COLOMBIA S.A.S</t>
  </si>
  <si>
    <t>900.531.259-3</t>
  </si>
  <si>
    <t>3 JD PROTECTOR SOLDADOR</t>
  </si>
  <si>
    <t>2 LONAS PROTECTORAS ED. RICON DE LA TOJA-ALMENDROS DEL POBLADO</t>
  </si>
  <si>
    <t xml:space="preserve">EL CHAQUIRO </t>
  </si>
  <si>
    <t>811.130.040-3</t>
  </si>
  <si>
    <t>LONA PROTECTORA ASCENSOR</t>
  </si>
  <si>
    <t>URBANIZACION ALTOS DEL POBLADO 1 P.H</t>
  </si>
  <si>
    <t>CONJUNTO RESIDENCIAL PALOS DE MOGUER</t>
  </si>
  <si>
    <t>890.938.162-0</t>
  </si>
  <si>
    <t>30 PROTECTORES EXTERNOS $5.000--2 PROTECTORES INTERNOS $24.000</t>
  </si>
  <si>
    <t>EDIFICIO GRAN MEDITERRANEO</t>
  </si>
  <si>
    <t>800.200.948-7</t>
  </si>
  <si>
    <t>2 PROTECTORES PARA CARROS DE MERCADO</t>
  </si>
  <si>
    <t>DOCUMENTO</t>
  </si>
  <si>
    <t>V. NETO</t>
  </si>
  <si>
    <t>MES</t>
  </si>
  <si>
    <t>AÑO</t>
  </si>
  <si>
    <t>BASE DE DATOS</t>
  </si>
  <si>
    <t>COMPRAS</t>
  </si>
  <si>
    <t>VENTAS</t>
  </si>
  <si>
    <t>CLIENTE/AÑO</t>
  </si>
  <si>
    <t>2018</t>
  </si>
  <si>
    <t>2019</t>
  </si>
  <si>
    <t>2020</t>
  </si>
  <si>
    <t>2021</t>
  </si>
  <si>
    <t>ACUMULADO</t>
  </si>
  <si>
    <t>TOTALES</t>
  </si>
  <si>
    <t>CONSOLIDADO X AÑOS</t>
  </si>
  <si>
    <t>PROV/AÑO</t>
  </si>
  <si>
    <t>CENTRAL DE AMORTIGUADORES</t>
  </si>
  <si>
    <t>2 AMORTIGUADORES DELANTEROS COROLLA</t>
  </si>
  <si>
    <t>PEDRO ANTONIO HERRERA</t>
  </si>
  <si>
    <t>8.228.782-0</t>
  </si>
  <si>
    <t>12.3 MTS BRIGADIER 700-342</t>
  </si>
  <si>
    <t>PLASTEXTIL S.A.S</t>
  </si>
  <si>
    <t>890.900.372-6</t>
  </si>
  <si>
    <t>1 MTS BRIGADIER 700</t>
  </si>
  <si>
    <t>TODO TAPICERO S.A</t>
  </si>
  <si>
    <t>PEGANTE-BRIGADIER</t>
  </si>
  <si>
    <t>811.019.431-7</t>
  </si>
  <si>
    <t>ALMACEN PLASTITELAS S.A</t>
  </si>
  <si>
    <t>VINILO CAL 30 MTS</t>
  </si>
  <si>
    <t>800.028.761-0</t>
  </si>
  <si>
    <t>COMERCIALIZADORA CALYPSO S.A.S</t>
  </si>
  <si>
    <t>12 MTS VINILO CAL150</t>
  </si>
  <si>
    <t>4206 665892</t>
  </si>
  <si>
    <t>GATO BOTELLA-CINTA DOBLE FAZ</t>
  </si>
  <si>
    <t>RELOMAR S.A.S</t>
  </si>
  <si>
    <t>6 BOMBILLO $3.000--2 H3 $ 16.000</t>
  </si>
  <si>
    <t>900.948.601-0</t>
  </si>
  <si>
    <t>4206 666499</t>
  </si>
  <si>
    <t>CINTA DPBLE FAZ</t>
  </si>
  <si>
    <t>MA. ALEJANDRA TANGARIFE</t>
  </si>
  <si>
    <t>1128422587-8</t>
  </si>
  <si>
    <t>RIATRA</t>
  </si>
  <si>
    <t>GHMC S.A.S</t>
  </si>
  <si>
    <t>900.199.391-4</t>
  </si>
  <si>
    <t>CARTUCHO IMPRESORA</t>
  </si>
  <si>
    <t>CENTRO ELECTRICO AT. E.U</t>
  </si>
  <si>
    <t>811.013.030-1</t>
  </si>
  <si>
    <t>OJO DE BUEY</t>
  </si>
  <si>
    <t>COMERCIALIZADORA GIRALDO Z S.A.S</t>
  </si>
  <si>
    <t>HILO APTAN 40</t>
  </si>
  <si>
    <t>900.838.480-9</t>
  </si>
  <si>
    <t>LUZ PIEDAD ESPINOSA</t>
  </si>
  <si>
    <t>21.395.737-0</t>
  </si>
  <si>
    <t>LONA BRIGADIER</t>
  </si>
  <si>
    <t>ALMACEN RAMO ELECTRICOS S.A.S</t>
  </si>
  <si>
    <t>800.175.064-4</t>
  </si>
  <si>
    <t>BOMBA GASOLINA COROLLA</t>
  </si>
  <si>
    <t>GUILLERMO LEON BEDOYA</t>
  </si>
  <si>
    <t>71.396.968-1</t>
  </si>
  <si>
    <t>PANEL LED 18 W</t>
  </si>
  <si>
    <t>FORMATEX LA 50</t>
  </si>
  <si>
    <t>900.025.648-5</t>
  </si>
  <si>
    <t>HERRAJES</t>
  </si>
  <si>
    <t>4206 678263</t>
  </si>
  <si>
    <t>CINTA DOBLE FAZ-BUJE PVC</t>
  </si>
  <si>
    <t>SOLDADURA PVC</t>
  </si>
  <si>
    <t>TORNILLOS -BROCAS</t>
  </si>
  <si>
    <t>4007 499477</t>
  </si>
  <si>
    <t>BUJE PVC-ADAPTADOR</t>
  </si>
  <si>
    <t>10 MTS ULTRA LONA AZUL</t>
  </si>
  <si>
    <t>10 MTS GUATA 300</t>
  </si>
  <si>
    <t>30 MTS ARKANSAS</t>
  </si>
  <si>
    <t>SERVITECA LUBRIFILTROS BELLO S.A.S</t>
  </si>
  <si>
    <t>ACEITE 20W50--FILTRO DE ACEITE</t>
  </si>
  <si>
    <t>900.704.790-7</t>
  </si>
  <si>
    <t>6.1 MTS LONA ESPAÑA</t>
  </si>
  <si>
    <t>13 MTS ARKANSAS</t>
  </si>
  <si>
    <t>12 MTS GUATA 300</t>
  </si>
  <si>
    <t>10 MTS BRIGADIER 700</t>
  </si>
  <si>
    <t>T551 163</t>
  </si>
  <si>
    <t>25 MTS ARKANSAS--10 MT GUATA</t>
  </si>
  <si>
    <t>1 LONA PROTECTORA RAYO DE SOL-1 LONA ESQUINA DEL CONQUISTADOR</t>
  </si>
  <si>
    <t>REFUERZO EN FORROS CARRO DE MERCADOS</t>
  </si>
  <si>
    <t>IMPERIAL ELEVADORES S.A.S</t>
  </si>
  <si>
    <t>900.828.771-1</t>
  </si>
  <si>
    <t xml:space="preserve">1 LONA PROTECTORA  </t>
  </si>
  <si>
    <t>CONQUILLANTAS</t>
  </si>
  <si>
    <t>71.773,073-2</t>
  </si>
  <si>
    <t>CRD-2165</t>
  </si>
  <si>
    <t>2 LLANTAS BLACKLION 195/65R15--ALINEACION</t>
  </si>
  <si>
    <t>1 LONA PROTECTORA CEO AGUACATALA</t>
  </si>
  <si>
    <t>URBANIZACION VILLAS DE SAN JOSE</t>
  </si>
  <si>
    <t>FULL ZONE S.A.S</t>
  </si>
  <si>
    <t>CARPA MEDIA NARANJA EN BRIGADIER APT 502</t>
  </si>
  <si>
    <t>1 LONA PROTECTORA HOTEL RIONEGRO</t>
  </si>
  <si>
    <t>CARPA 24 X 7 MTS EN LONA ARES BLACKOUT BLANCA H. ROSALPI</t>
  </si>
  <si>
    <t>900.531.699-0</t>
  </si>
  <si>
    <t>3 MAMPARAS EN LONA BRIGADIER 2 X 1.50 MTS</t>
  </si>
  <si>
    <t>EDIFICIO BASILEA</t>
  </si>
  <si>
    <t>900.488.501-8</t>
  </si>
  <si>
    <t>1 LONA PROTECTORA DE ASCENSOR</t>
  </si>
  <si>
    <t>C.R TORRES DEL CASTILLO</t>
  </si>
  <si>
    <t>890.937.289-2</t>
  </si>
  <si>
    <t>EDIFICIO CHAPELET P.H</t>
  </si>
  <si>
    <t>900.872.144-8</t>
  </si>
  <si>
    <t>ARREGLO DE BRINCA BRINCA</t>
  </si>
  <si>
    <t>1 LONA PROTECTORA DE ASCENSOR ED. SOCAIRE</t>
  </si>
  <si>
    <t>1 LONA PROTECTORA DE ASCENSOR-SAN BASILIO</t>
  </si>
  <si>
    <t>BANCOLOMBIA</t>
  </si>
  <si>
    <t>COLPATRIA</t>
  </si>
  <si>
    <t>URBANIZACION PENINSULA CONDOMINIO P.H</t>
  </si>
  <si>
    <t>900.518.640-3</t>
  </si>
  <si>
    <t>4 LONAS PROTECTORAS DE ASCENSOR</t>
  </si>
  <si>
    <t>REPARACION DE 14 CHALECOS</t>
  </si>
  <si>
    <t>CONJUNTO MULTIFAMILIAR PRADO DE VILLANUEVA</t>
  </si>
  <si>
    <t>1 LONA PROTECTORA DE ASCENSOR EN LONA HURACAN</t>
  </si>
  <si>
    <t>811.046.856-8</t>
  </si>
  <si>
    <t>EDIFICIO SHINGALE P.H</t>
  </si>
  <si>
    <t>800.253.169-3</t>
  </si>
  <si>
    <t>3 PISOS PARA ASCENSOR</t>
  </si>
  <si>
    <t>1 LONA PROTECTORA DE ASCENSOR -CALI</t>
  </si>
  <si>
    <t>CENTRO COMERCIAL LOS MARINILLOS PH</t>
  </si>
  <si>
    <t>900.294.051-1</t>
  </si>
  <si>
    <t>1 LONA PROTECTORA EN HURACAN GRIS</t>
  </si>
  <si>
    <t>ELEVADORES TECNIVEC S.A.S</t>
  </si>
  <si>
    <t>901.238.336-0</t>
  </si>
  <si>
    <t>1 LONA DE ASCENSOR EN ARKANSAS. ED. BARCELONA PLAZA</t>
  </si>
  <si>
    <t>1 LONA DE ASCENSOR EN ARKANSAS ED. GRENN B</t>
  </si>
  <si>
    <t xml:space="preserve">AMERICANA DE ELEVADORES </t>
  </si>
  <si>
    <t>900.313.705-2</t>
  </si>
  <si>
    <t>1 LONA DE ASCENSOR EN ARKANSAS ED. COPACABANA</t>
  </si>
  <si>
    <t>1 LONA DE ASCENSOR EN ARKANSAS ED. CORAZON DE ENVIGADO</t>
  </si>
  <si>
    <t>Abono</t>
  </si>
  <si>
    <t>slado</t>
  </si>
  <si>
    <t>EDIFICIO CATANIA</t>
  </si>
  <si>
    <t>811.020.023-7</t>
  </si>
  <si>
    <t>1 LONA DE ASCENSOR EN ARKANSAS- POBLADO</t>
  </si>
  <si>
    <t>REAPARACION DE LONA ED. COPACABANA</t>
  </si>
  <si>
    <t>ANULADA</t>
  </si>
  <si>
    <t>Columna1</t>
  </si>
  <si>
    <t>1 LONA E ASCENSOR ED. BARLOVENTO</t>
  </si>
  <si>
    <t>Columna2</t>
  </si>
  <si>
    <t>saldo al 31/12/21 6.000.000</t>
  </si>
  <si>
    <t>1 LONA DE ASCENSOR ARCOS DE AGUAPANTAL</t>
  </si>
  <si>
    <t>1 LONA DE ASCENSOR APARTAHOTEL COLIVING</t>
  </si>
  <si>
    <t>1 CARPA Y ESTRUCTURA 1 CORTINA DE 3X3 CON PUBLICIDAD</t>
  </si>
  <si>
    <t>900.549.783-0</t>
  </si>
  <si>
    <t>TRANSPORTES ESPECIALES A&amp;S S.A.S</t>
  </si>
  <si>
    <t>1 FABRICACION DE LONA DE ASCENSOR ENVIGADO</t>
  </si>
  <si>
    <t>OMC INGENIERIA S.A.S</t>
  </si>
  <si>
    <t>901.412.993-5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</si>
</sst>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_-&quot;$&quot;* #,##0_-;\-&quot;$&quot;* #,##0_-;_-&quot;$&quot;* &quot;-&quot;??_-;_-@_-"/>
    <numFmt numFmtId="167" formatCode="_-&quot;$&quot;* #,##0.0_-;\-&quot;$&quot;* #,##0.0_-;_-&quot;$&quot;* &quot;-&quot;??_-;_-@_-"/>
    <numFmt numFmtId="168" formatCode="dd/mm/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scheme val="minor"/>
    </font>
    <font>
      <sz val="10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theme="9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2" fillId="2" borderId="0" xfId="0" applyFont="1" applyFill="1"/>
    <xf numFmtId="164" fontId="2" fillId="2" borderId="0" xfId="2" applyFont="1" applyFill="1"/>
    <xf numFmtId="0" fontId="2" fillId="3" borderId="0" xfId="0" applyFont="1" applyFill="1"/>
    <xf numFmtId="164" fontId="2" fillId="3" borderId="0" xfId="2" applyFont="1" applyFill="1"/>
    <xf numFmtId="0" fontId="2" fillId="0" borderId="0" xfId="0" applyFont="1" applyAlignment="1">
      <alignment horizontal="center"/>
    </xf>
    <xf numFmtId="14" fontId="2" fillId="0" borderId="0" xfId="0" applyNumberFormat="1" applyFont="1"/>
    <xf numFmtId="1" fontId="2" fillId="0" borderId="0" xfId="0" applyNumberFormat="1" applyFont="1"/>
    <xf numFmtId="166" fontId="2" fillId="0" borderId="0" xfId="1" applyNumberFormat="1" applyFont="1"/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4" borderId="1" xfId="2" applyNumberFormat="1" applyFont="1" applyFill="1" applyBorder="1" applyAlignment="1">
      <alignment horizontal="center"/>
    </xf>
    <xf numFmtId="164" fontId="2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0" fillId="0" borderId="4" xfId="0" applyBorder="1"/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164" fontId="2" fillId="4" borderId="11" xfId="2" applyNumberFormat="1" applyFont="1" applyFill="1" applyBorder="1" applyAlignment="1">
      <alignment horizontal="center"/>
    </xf>
    <xf numFmtId="0" fontId="0" fillId="0" borderId="7" xfId="0" applyBorder="1"/>
    <xf numFmtId="14" fontId="2" fillId="4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14" fontId="2" fillId="4" borderId="12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4" fontId="2" fillId="4" borderId="8" xfId="0" applyNumberFormat="1" applyFont="1" applyFill="1" applyBorder="1" applyAlignment="1">
      <alignment horizontal="center"/>
    </xf>
    <xf numFmtId="14" fontId="2" fillId="4" borderId="7" xfId="0" applyNumberFormat="1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164" fontId="2" fillId="4" borderId="8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8" xfId="0" applyFont="1" applyFill="1" applyBorder="1" applyAlignment="1">
      <alignment horizontal="center"/>
    </xf>
    <xf numFmtId="166" fontId="0" fillId="0" borderId="0" xfId="1" applyNumberFormat="1" applyFont="1"/>
    <xf numFmtId="166" fontId="0" fillId="0" borderId="0" xfId="1" applyNumberFormat="1" applyFont="1" applyAlignment="1">
      <alignment horizontal="center"/>
    </xf>
    <xf numFmtId="0" fontId="9" fillId="5" borderId="0" xfId="0" applyFont="1" applyFill="1" applyAlignment="1">
      <alignment horizontal="center" wrapText="1"/>
    </xf>
    <xf numFmtId="0" fontId="9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166" fontId="4" fillId="6" borderId="0" xfId="1" applyNumberFormat="1" applyFont="1" applyFill="1" applyAlignment="1">
      <alignment horizontal="center"/>
    </xf>
    <xf numFmtId="0" fontId="2" fillId="0" borderId="14" xfId="0" applyFont="1" applyFill="1" applyBorder="1"/>
    <xf numFmtId="0" fontId="2" fillId="0" borderId="15" xfId="0" applyFont="1" applyFill="1" applyBorder="1"/>
    <xf numFmtId="0" fontId="0" fillId="0" borderId="5" xfId="0" applyBorder="1"/>
    <xf numFmtId="0" fontId="0" fillId="0" borderId="2" xfId="0" applyBorder="1"/>
    <xf numFmtId="167" fontId="0" fillId="0" borderId="1" xfId="1" applyNumberFormat="1" applyFont="1" applyBorder="1"/>
    <xf numFmtId="167" fontId="0" fillId="0" borderId="3" xfId="1" applyNumberFormat="1" applyFont="1" applyBorder="1"/>
    <xf numFmtId="167" fontId="0" fillId="0" borderId="8" xfId="1" applyNumberFormat="1" applyFont="1" applyBorder="1"/>
    <xf numFmtId="167" fontId="0" fillId="0" borderId="9" xfId="1" applyNumberFormat="1" applyFont="1" applyBorder="1"/>
    <xf numFmtId="167" fontId="4" fillId="0" borderId="1" xfId="1" applyNumberFormat="1" applyFont="1" applyBorder="1"/>
    <xf numFmtId="167" fontId="4" fillId="0" borderId="8" xfId="1" applyNumberFormat="1" applyFont="1" applyBorder="1"/>
    <xf numFmtId="165" fontId="4" fillId="0" borderId="0" xfId="1" applyFont="1" applyAlignment="1">
      <alignment horizontal="center"/>
    </xf>
    <xf numFmtId="0" fontId="5" fillId="0" borderId="15" xfId="0" applyFont="1" applyFill="1" applyBorder="1"/>
    <xf numFmtId="167" fontId="0" fillId="0" borderId="2" xfId="1" applyNumberFormat="1" applyFont="1" applyBorder="1"/>
    <xf numFmtId="14" fontId="5" fillId="4" borderId="8" xfId="0" applyNumberFormat="1" applyFont="1" applyFill="1" applyBorder="1" applyAlignment="1">
      <alignment horizontal="center"/>
    </xf>
    <xf numFmtId="14" fontId="5" fillId="4" borderId="7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4" fontId="5" fillId="4" borderId="8" xfId="2" applyNumberFormat="1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3" fontId="5" fillId="0" borderId="1" xfId="0" applyNumberFormat="1" applyFont="1" applyFill="1" applyBorder="1" applyAlignment="1">
      <alignment horizontal="center"/>
    </xf>
    <xf numFmtId="168" fontId="5" fillId="4" borderId="8" xfId="0" applyNumberFormat="1" applyFont="1" applyFill="1" applyBorder="1" applyAlignment="1">
      <alignment horizontal="center"/>
    </xf>
    <xf numFmtId="168" fontId="5" fillId="4" borderId="7" xfId="0" applyNumberFormat="1" applyFont="1" applyFill="1" applyBorder="1" applyAlignment="1">
      <alignment horizontal="center"/>
    </xf>
    <xf numFmtId="166" fontId="10" fillId="0" borderId="0" xfId="1" applyNumberFormat="1" applyFont="1"/>
    <xf numFmtId="165" fontId="0" fillId="0" borderId="0" xfId="1" applyFont="1"/>
    <xf numFmtId="165" fontId="0" fillId="0" borderId="0" xfId="0" applyNumberFormat="1"/>
    <xf numFmtId="164" fontId="2" fillId="7" borderId="1" xfId="2" applyNumberFormat="1" applyFont="1" applyFill="1" applyBorder="1" applyAlignment="1">
      <alignment horizontal="center"/>
    </xf>
    <xf numFmtId="164" fontId="2" fillId="7" borderId="8" xfId="2" applyNumberFormat="1" applyFont="1" applyFill="1" applyBorder="1" applyAlignment="1">
      <alignment horizontal="center"/>
    </xf>
    <xf numFmtId="164" fontId="5" fillId="4" borderId="16" xfId="2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64" fontId="2" fillId="4" borderId="16" xfId="2" applyNumberFormat="1" applyFont="1" applyFill="1" applyBorder="1" applyAlignment="1">
      <alignment horizontal="center"/>
    </xf>
    <xf numFmtId="164" fontId="5" fillId="7" borderId="16" xfId="2" applyNumberFormat="1" applyFont="1" applyFill="1" applyBorder="1" applyAlignment="1">
      <alignment horizontal="center"/>
    </xf>
    <xf numFmtId="164" fontId="2" fillId="7" borderId="16" xfId="2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165" fontId="0" fillId="2" borderId="0" xfId="0" applyNumberForma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Moneda" xfId="1" builtinId="4"/>
    <cellStyle name="Moneda [0]" xfId="2" builtinId="7"/>
    <cellStyle name="Normal" xfId="0" builtinId="0"/>
  </cellStyles>
  <dxfs count="56">
    <dxf>
      <numFmt numFmtId="167" formatCode="_-&quot;$&quot;* #,##0.0_-;\-&quot;$&quot;* #,##0.0_-;_-&quot;$&quot;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_-&quot;$&quot;* #,##0.0_-;\-&quot;$&quot;* #,##0.0_-;_-&quot;$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-&quot;$&quot;* #,##0.0_-;\-&quot;$&quot;* #,##0.0_-;_-&quot;$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-&quot;$&quot;* #,##0.0_-;\-&quot;$&quot;* #,##0.0_-;_-&quot;$&quot;* &quot;-&quot;??_-;_-@_-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7" formatCode="_-&quot;$&quot;* #,##0.0_-;\-&quot;$&quot;* #,##0.0_-;_-&quot;$&quot;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_-&quot;$&quot;* #,##0_-;\-&quot;$&quot;* #,##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_-&quot;$&quot;* #,##0_-;\-&quot;$&quot;* #,##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_-&quot;$&quot;* #,##0_-;\-&quot;$&quot;* #,##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8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8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8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&quot;$&quot;* #,##0_-;\-&quot;$&quot;* #,##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&quot;$&quot;* #,##0_-;\-&quot;$&quot;* #,##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&quot;$&quot;* #,##0_-;\-&quot;$&quot;* #,##0_-;_-&quot;$&quot;* &quot;-&quot;??_-;_-@_-"/>
    </dxf>
    <dxf>
      <numFmt numFmtId="166" formatCode="_-&quot;$&quot;* #,##0_-;\-&quot;$&quot;* #,##0_-;_-&quot;$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_-&quot;$&quot;* #,##0_-;\-&quot;$&quot;* #,##0_-;_-&quot;$&quot;* &quot;-&quot;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_-&quot;$&quot;* #,##0_-;\-&quot;$&quot;* #,##0_-;_-&quot;$&quot;* &quot;-&quot;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_-&quot;$&quot;* #,##0_-;\-&quot;$&quot;* #,##0_-;_-&quot;$&quot;* &quot;-&quot;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_-&quot;$&quot;* #,##0_-;\-&quot;$&quot;* #,##0_-;_-&quot;$&quot;* &quot;-&quot;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_-&quot;$&quot;* #,##0_-;\-&quot;$&quot;* #,##0_-;_-&quot;$&quot;* &quot;-&quot;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_-&quot;$&quot;* #,##0_-;\-&quot;$&quot;* #,##0_-;_-&quot;$&quot;* &quot;-&quot;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_-&quot;$&quot;* #,##0_-;\-&quot;$&quot;* #,##0_-;_-&quot;$&quot;* &quot;-&quot;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indexed="64"/>
        </right>
        <top style="thin">
          <color indexed="64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8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8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9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a5" displayName="Tabla5" ref="B3:C42" totalsRowShown="0" headerRowDxfId="55" dataDxfId="54" tableBorderDxfId="53">
  <autoFilter ref="B3:C42" xr:uid="{00000000-0009-0000-0100-000005000000}"/>
  <tableColumns count="2">
    <tableColumn id="1" xr3:uid="{00000000-0010-0000-0000-000001000000}" name="CLIENTE" dataDxfId="52"/>
    <tableColumn id="2" xr3:uid="{00000000-0010-0000-0000-000002000000}" name="NIT" dataDxfId="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a7" displayName="Tabla7" ref="F3:G42" totalsRowShown="0" headerRowDxfId="50" dataDxfId="49" tableBorderDxfId="48">
  <autoFilter ref="F3:G42" xr:uid="{00000000-0009-0000-0100-000007000000}"/>
  <tableColumns count="2">
    <tableColumn id="1" xr3:uid="{00000000-0010-0000-0100-000001000000}" name="PROVEEDOR" dataDxfId="47"/>
    <tableColumn id="2" xr3:uid="{00000000-0010-0000-0100-000002000000}" name="NIT" data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LIENTE" displayName="CLIENTE" ref="A2:N130" totalsRowShown="0" headerRowDxfId="45" dataDxfId="44" tableBorderDxfId="43" dataCellStyle="Moneda [0]">
  <autoFilter ref="A2:N130" xr:uid="{00000000-0009-0000-0100-000004000000}"/>
  <tableColumns count="14">
    <tableColumn id="1" xr3:uid="{00000000-0010-0000-0200-000001000000}" name="FECHA" dataDxfId="42"/>
    <tableColumn id="2" xr3:uid="{00000000-0010-0000-0200-000002000000}" name="MES" dataDxfId="41">
      <calculatedColumnFormula>TEXT(CLIENTE[[#This Row],[FECHA]],"MMMM")</calculatedColumnFormula>
    </tableColumn>
    <tableColumn id="3" xr3:uid="{00000000-0010-0000-0200-000003000000}" name="AÑO" dataDxfId="40">
      <calculatedColumnFormula>TEXT(CLIENTE[[#This Row],[FECHA]],"YYYY")</calculatedColumnFormula>
    </tableColumn>
    <tableColumn id="4" xr3:uid="{00000000-0010-0000-0200-000004000000}" name="DOCUMENTO" dataDxfId="39"/>
    <tableColumn id="5" xr3:uid="{00000000-0010-0000-0200-000005000000}" name="CLIENTE" dataDxfId="38"/>
    <tableColumn id="6" xr3:uid="{00000000-0010-0000-0200-000006000000}" name="NIT" dataDxfId="37"/>
    <tableColumn id="7" xr3:uid="{00000000-0010-0000-0200-000007000000}" name="VALOR" dataDxfId="36" dataCellStyle="Moneda [0]"/>
    <tableColumn id="8" xr3:uid="{00000000-0010-0000-0200-000008000000}" name="RTE FTE" dataDxfId="35" dataCellStyle="Moneda [0]"/>
    <tableColumn id="9" xr3:uid="{00000000-0010-0000-0200-000009000000}" name="V. NETO" dataDxfId="34" dataCellStyle="Moneda [0]">
      <calculatedColumnFormula>+G3-H3</calculatedColumnFormula>
    </tableColumn>
    <tableColumn id="10" xr3:uid="{00000000-0010-0000-0200-00000A000000}" name="DESCRIPCION" dataDxfId="33"/>
    <tableColumn id="11" xr3:uid="{6B62AFCC-1E3A-46A3-B3F6-057CCD99A85B}" name="Abono" dataDxfId="32" dataCellStyle="Moneda [0]"/>
    <tableColumn id="12" xr3:uid="{0539053B-0AE5-415F-8981-9E42B1E3950B}" name="slado" dataDxfId="31" dataCellStyle="Moneda [0]">
      <calculatedColumnFormula>+CLIENTE[[#This Row],[VALOR]]-CLIENTE[[#This Row],[RTE FTE]]-CLIENTE[[#This Row],[Abono]]</calculatedColumnFormula>
    </tableColumn>
    <tableColumn id="13" xr3:uid="{52584697-B723-49F1-910F-703E1F835BEE}" name="Columna1" dataDxfId="30" dataCellStyle="Moneda [0]"/>
    <tableColumn id="14" xr3:uid="{0FA826CC-7159-4A3F-BC81-EA469FC64D1A}" name="Columna2" dataDxfId="29" dataCellStyle="Moneda [0]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a6" displayName="Tabla6" ref="A5:F47" totalsRowShown="0" headerRowDxfId="28" dataDxfId="27" dataCellStyle="Moneda">
  <autoFilter ref="A5:F47" xr:uid="{00000000-0009-0000-0100-000006000000}"/>
  <sortState xmlns:xlrd2="http://schemas.microsoft.com/office/spreadsheetml/2017/richdata2" ref="A6:F32">
    <sortCondition ref="A6"/>
  </sortState>
  <tableColumns count="6">
    <tableColumn id="1" xr3:uid="{00000000-0010-0000-0300-000001000000}" name="CLIENTE/AÑO" dataDxfId="26">
      <calculatedColumnFormula>B.D!B4</calculatedColumnFormula>
    </tableColumn>
    <tableColumn id="6" xr3:uid="{00000000-0010-0000-0300-000006000000}" name="ACUMULADO" dataDxfId="25" dataCellStyle="Moneda">
      <calculatedColumnFormula>+SUMIFS(CLIENTE[VALOR],CLIENTE[CLIENTE],Tabla6[[#This Row],[CLIENTE/AÑO]])</calculatedColumnFormula>
    </tableColumn>
    <tableColumn id="2" xr3:uid="{00000000-0010-0000-0300-000002000000}" name="2018"/>
    <tableColumn id="3" xr3:uid="{00000000-0010-0000-0300-000003000000}" name="2019" dataDxfId="24" dataCellStyle="Moneda">
      <calculatedColumnFormula>+SUMIFS(CLIENTE[VALOR],CLIENTE[CLIENTE],A6,CLIENTE[AÑO],$D$5)</calculatedColumnFormula>
    </tableColumn>
    <tableColumn id="4" xr3:uid="{00000000-0010-0000-0300-000004000000}" name="2020" dataDxfId="23" dataCellStyle="Moneda">
      <calculatedColumnFormula>+SUMIFS(CLIENTE[VALOR],CLIENTE[CLIENTE],A6,CLIENTE[AÑO],$E$5)</calculatedColumnFormula>
    </tableColumn>
    <tableColumn id="5" xr3:uid="{00000000-0010-0000-0300-000005000000}" name="2021" dataDxfId="22" dataCellStyle="Moneda">
      <calculatedColumnFormula>+SUMIFS(CLIENTE[VALOR],CLIENTE[CLIENTE],A6,CLIENTE[AÑO],$F$5)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a1" displayName="Tabla1" ref="A3:J80" totalsRowShown="0" headerRowDxfId="21" dataDxfId="20">
  <autoFilter ref="A3:J80" xr:uid="{00000000-0009-0000-0100-000001000000}"/>
  <tableColumns count="10">
    <tableColumn id="1" xr3:uid="{00000000-0010-0000-0400-000001000000}" name="FECHA" dataDxfId="19"/>
    <tableColumn id="10" xr3:uid="{00000000-0010-0000-0400-00000A000000}" name="MES" dataDxfId="18">
      <calculatedColumnFormula>+TEXT(Tabla1[[#This Row],[FECHA]],"MMMM")</calculatedColumnFormula>
    </tableColumn>
    <tableColumn id="9" xr3:uid="{00000000-0010-0000-0400-000009000000}" name="AÑO" dataDxfId="17">
      <calculatedColumnFormula>+TEXT(Tabla1[[#This Row],[FECHA]],"AAAA")</calculatedColumnFormula>
    </tableColumn>
    <tableColumn id="2" xr3:uid="{00000000-0010-0000-0400-000002000000}" name="FACTURA" dataDxfId="16"/>
    <tableColumn id="3" xr3:uid="{00000000-0010-0000-0400-000003000000}" name="PROVEEDOR" dataDxfId="15"/>
    <tableColumn id="4" xr3:uid="{00000000-0010-0000-0400-000004000000}" name="NIT" dataDxfId="14">
      <calculatedColumnFormula>+VLOOKUP(Tabla1[[#This Row],[PROVEEDOR]],Tabla7[],2,FALSE)</calculatedColumnFormula>
    </tableColumn>
    <tableColumn id="5" xr3:uid="{00000000-0010-0000-0400-000005000000}" name="VALOR" dataDxfId="13" dataCellStyle="Moneda"/>
    <tableColumn id="6" xr3:uid="{00000000-0010-0000-0400-000006000000}" name="IVA" dataDxfId="12" dataCellStyle="Moneda">
      <calculatedColumnFormula>+G4*19%</calculatedColumnFormula>
    </tableColumn>
    <tableColumn id="7" xr3:uid="{00000000-0010-0000-0400-000007000000}" name="TOTAL" dataDxfId="11" dataCellStyle="Moneda">
      <calculatedColumnFormula>+G4+H4</calculatedColumnFormula>
    </tableColumn>
    <tableColumn id="8" xr3:uid="{00000000-0010-0000-0400-000008000000}" name="DESCRIPCION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a8" displayName="Tabla8" ref="A5:F46" totalsRowShown="0" headerRowDxfId="9" headerRowBorderDxfId="8" tableBorderDxfId="7" totalsRowBorderDxfId="6">
  <autoFilter ref="A5:F46" xr:uid="{00000000-0009-0000-0100-000008000000}"/>
  <sortState xmlns:xlrd2="http://schemas.microsoft.com/office/spreadsheetml/2017/richdata2" ref="A6:F46">
    <sortCondition ref="A5"/>
  </sortState>
  <tableColumns count="6">
    <tableColumn id="1" xr3:uid="{00000000-0010-0000-0500-000001000000}" name="PROV/AÑO" dataDxfId="5">
      <calculatedColumnFormula>B.D!F4</calculatedColumnFormula>
    </tableColumn>
    <tableColumn id="2" xr3:uid="{00000000-0010-0000-0500-000002000000}" name="ACUMULADO" dataDxfId="4" dataCellStyle="Moneda">
      <calculatedColumnFormula>+SUM(Tabla8[[#This Row],[2018]:[2021]])</calculatedColumnFormula>
    </tableColumn>
    <tableColumn id="3" xr3:uid="{00000000-0010-0000-0500-000003000000}" name="2018" dataDxfId="3" dataCellStyle="Moneda">
      <calculatedColumnFormula>+SUMIFS(COMPRAS!$I$4:$I$80,COMPRAS!$E$4:$E$80,Tabla8[[#This Row],[PROV/AÑO]],COMPRAS!$C$4:$C$80,Tabla8[[#Headers],[2018]])</calculatedColumnFormula>
    </tableColumn>
    <tableColumn id="4" xr3:uid="{00000000-0010-0000-0500-000004000000}" name="2019" dataDxfId="2" dataCellStyle="Moneda">
      <calculatedColumnFormula>+SUMIFS(COMPRAS!I4:I80,COMPRAS!E4:E80,Tabla8[[#This Row],[PROV/AÑO]],COMPRAS!C4:C80,Tabla8[[#Headers],[2019]])</calculatedColumnFormula>
    </tableColumn>
    <tableColumn id="5" xr3:uid="{00000000-0010-0000-0500-000005000000}" name="2020" dataDxfId="1" dataCellStyle="Moneda">
      <calculatedColumnFormula>+SUMIFS(COMPRAS!$I$4:$I$80,COMPRAS!$E$4:$E$80,Tabla8[[#This Row],[PROV/AÑO]],COMPRAS!$C$4:$C$80,Tabla8[[#Headers],[2020]])</calculatedColumnFormula>
    </tableColumn>
    <tableColumn id="6" xr3:uid="{00000000-0010-0000-0500-000006000000}" name="2021" dataDxfId="0" dataCellStyle="Moneda">
      <calculatedColumnFormula>+SUMIFS(COMPRAS!$I$4:$I$80,COMPRAS!$E$4:$E$80,Tabla8[[#This Row],[PROV/AÑO]],COMPRAS!$C$4:$C$80,Tabla8[[#Headers],[2021]])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2"/>
  <sheetViews>
    <sheetView topLeftCell="A22" workbookViewId="0">
      <selection activeCell="B42" sqref="B42"/>
    </sheetView>
  </sheetViews>
  <sheetFormatPr baseColWidth="10" defaultRowHeight="14.4" x14ac:dyDescent="0.3"/>
  <cols>
    <col min="2" max="2" width="39.5546875" bestFit="1" customWidth="1"/>
    <col min="6" max="6" width="30.33203125" bestFit="1" customWidth="1"/>
  </cols>
  <sheetData>
    <row r="1" spans="2:7" x14ac:dyDescent="0.3">
      <c r="B1" s="77" t="s">
        <v>203</v>
      </c>
      <c r="C1" s="77"/>
    </row>
    <row r="2" spans="2:7" x14ac:dyDescent="0.3">
      <c r="B2" s="77"/>
      <c r="C2" s="77"/>
    </row>
    <row r="3" spans="2:7" x14ac:dyDescent="0.3">
      <c r="B3" s="34" t="s">
        <v>82</v>
      </c>
      <c r="C3" s="34" t="s">
        <v>6</v>
      </c>
      <c r="F3" s="33" t="s">
        <v>5</v>
      </c>
      <c r="G3" s="33" t="s">
        <v>6</v>
      </c>
    </row>
    <row r="4" spans="2:7" x14ac:dyDescent="0.3">
      <c r="B4" s="32" t="s">
        <v>84</v>
      </c>
      <c r="C4" s="32" t="s">
        <v>85</v>
      </c>
      <c r="F4" s="44" t="s">
        <v>11</v>
      </c>
      <c r="G4" s="44" t="s">
        <v>12</v>
      </c>
    </row>
    <row r="5" spans="2:7" x14ac:dyDescent="0.3">
      <c r="B5" s="32" t="s">
        <v>87</v>
      </c>
      <c r="C5" s="32" t="s">
        <v>88</v>
      </c>
      <c r="F5" s="44" t="s">
        <v>14</v>
      </c>
      <c r="G5" s="44" t="s">
        <v>15</v>
      </c>
    </row>
    <row r="6" spans="2:7" x14ac:dyDescent="0.3">
      <c r="B6" s="32" t="s">
        <v>90</v>
      </c>
      <c r="C6" s="32" t="s">
        <v>91</v>
      </c>
      <c r="F6" s="44" t="s">
        <v>18</v>
      </c>
      <c r="G6" s="44" t="s">
        <v>19</v>
      </c>
    </row>
    <row r="7" spans="2:7" x14ac:dyDescent="0.3">
      <c r="B7" s="32" t="s">
        <v>93</v>
      </c>
      <c r="C7" s="32" t="s">
        <v>94</v>
      </c>
      <c r="F7" s="44" t="s">
        <v>21</v>
      </c>
      <c r="G7" s="44" t="s">
        <v>22</v>
      </c>
    </row>
    <row r="8" spans="2:7" x14ac:dyDescent="0.3">
      <c r="B8" s="32" t="s">
        <v>98</v>
      </c>
      <c r="C8" s="32" t="s">
        <v>99</v>
      </c>
      <c r="F8" s="44" t="s">
        <v>24</v>
      </c>
      <c r="G8" s="44" t="s">
        <v>25</v>
      </c>
    </row>
    <row r="9" spans="2:7" x14ac:dyDescent="0.3">
      <c r="B9" s="32" t="s">
        <v>101</v>
      </c>
      <c r="C9" s="32" t="s">
        <v>102</v>
      </c>
      <c r="F9" s="44" t="s">
        <v>229</v>
      </c>
      <c r="G9" s="44" t="s">
        <v>27</v>
      </c>
    </row>
    <row r="10" spans="2:7" x14ac:dyDescent="0.3">
      <c r="B10" s="32" t="s">
        <v>104</v>
      </c>
      <c r="C10" s="32" t="s">
        <v>105</v>
      </c>
      <c r="F10" s="44" t="s">
        <v>29</v>
      </c>
      <c r="G10" s="44" t="s">
        <v>30</v>
      </c>
    </row>
    <row r="11" spans="2:7" x14ac:dyDescent="0.3">
      <c r="B11" s="32" t="s">
        <v>109</v>
      </c>
      <c r="C11" s="32" t="s">
        <v>110</v>
      </c>
      <c r="F11" s="44" t="s">
        <v>32</v>
      </c>
      <c r="G11" s="44"/>
    </row>
    <row r="12" spans="2:7" x14ac:dyDescent="0.3">
      <c r="B12" s="32" t="s">
        <v>113</v>
      </c>
      <c r="C12" s="32" t="s">
        <v>114</v>
      </c>
      <c r="F12" s="44" t="s">
        <v>35</v>
      </c>
      <c r="G12" s="44" t="s">
        <v>36</v>
      </c>
    </row>
    <row r="13" spans="2:7" x14ac:dyDescent="0.3">
      <c r="B13" s="32" t="s">
        <v>124</v>
      </c>
      <c r="C13" s="32" t="s">
        <v>125</v>
      </c>
      <c r="F13" s="44" t="s">
        <v>38</v>
      </c>
      <c r="G13" s="44" t="s">
        <v>39</v>
      </c>
    </row>
    <row r="14" spans="2:7" x14ac:dyDescent="0.3">
      <c r="B14" s="32" t="s">
        <v>127</v>
      </c>
      <c r="C14" s="32" t="s">
        <v>128</v>
      </c>
      <c r="F14" s="44" t="s">
        <v>41</v>
      </c>
      <c r="G14" s="44" t="s">
        <v>42</v>
      </c>
    </row>
    <row r="15" spans="2:7" x14ac:dyDescent="0.3">
      <c r="B15" s="32" t="s">
        <v>167</v>
      </c>
      <c r="C15" s="32" t="s">
        <v>91</v>
      </c>
      <c r="F15" s="44" t="s">
        <v>44</v>
      </c>
      <c r="G15" s="44" t="s">
        <v>45</v>
      </c>
    </row>
    <row r="16" spans="2:7" x14ac:dyDescent="0.3">
      <c r="B16" s="32" t="s">
        <v>137</v>
      </c>
      <c r="C16" s="32" t="s">
        <v>138</v>
      </c>
      <c r="F16" s="44" t="s">
        <v>21</v>
      </c>
      <c r="G16" s="44" t="s">
        <v>22</v>
      </c>
    </row>
    <row r="17" spans="2:7" x14ac:dyDescent="0.3">
      <c r="B17" s="32" t="s">
        <v>140</v>
      </c>
      <c r="C17" s="32" t="s">
        <v>141</v>
      </c>
      <c r="F17" s="44" t="s">
        <v>47</v>
      </c>
      <c r="G17" s="44" t="s">
        <v>48</v>
      </c>
    </row>
    <row r="18" spans="2:7" x14ac:dyDescent="0.3">
      <c r="B18" s="32" t="s">
        <v>144</v>
      </c>
      <c r="C18" s="32" t="s">
        <v>145</v>
      </c>
      <c r="F18" s="44" t="s">
        <v>50</v>
      </c>
      <c r="G18" s="44" t="s">
        <v>51</v>
      </c>
    </row>
    <row r="19" spans="2:7" x14ac:dyDescent="0.3">
      <c r="B19" s="32" t="s">
        <v>163</v>
      </c>
      <c r="C19" s="32" t="s">
        <v>164</v>
      </c>
      <c r="F19" s="44" t="s">
        <v>53</v>
      </c>
      <c r="G19" s="44" t="s">
        <v>54</v>
      </c>
    </row>
    <row r="20" spans="2:7" x14ac:dyDescent="0.3">
      <c r="B20" s="32" t="s">
        <v>171</v>
      </c>
      <c r="C20" s="32" t="s">
        <v>172</v>
      </c>
      <c r="F20" s="44" t="s">
        <v>57</v>
      </c>
      <c r="G20" s="44" t="s">
        <v>58</v>
      </c>
    </row>
    <row r="21" spans="2:7" x14ac:dyDescent="0.3">
      <c r="B21" s="32" t="s">
        <v>177</v>
      </c>
      <c r="C21" s="32" t="s">
        <v>178</v>
      </c>
      <c r="F21" s="44" t="s">
        <v>60</v>
      </c>
      <c r="G21" s="44" t="s">
        <v>61</v>
      </c>
    </row>
    <row r="22" spans="2:7" x14ac:dyDescent="0.3">
      <c r="B22" s="32" t="s">
        <v>185</v>
      </c>
      <c r="C22" s="32" t="s">
        <v>186</v>
      </c>
      <c r="F22" s="44" t="s">
        <v>63</v>
      </c>
      <c r="G22" s="44" t="s">
        <v>64</v>
      </c>
    </row>
    <row r="23" spans="2:7" x14ac:dyDescent="0.3">
      <c r="B23" s="32" t="s">
        <v>189</v>
      </c>
      <c r="C23" s="32" t="s">
        <v>190</v>
      </c>
      <c r="F23" s="44" t="s">
        <v>38</v>
      </c>
      <c r="G23" s="44" t="s">
        <v>39</v>
      </c>
    </row>
    <row r="24" spans="2:7" x14ac:dyDescent="0.3">
      <c r="B24" s="32" t="s">
        <v>192</v>
      </c>
      <c r="C24" s="32"/>
      <c r="F24" s="44" t="s">
        <v>72</v>
      </c>
      <c r="G24" s="44" t="s">
        <v>73</v>
      </c>
    </row>
    <row r="25" spans="2:7" x14ac:dyDescent="0.3">
      <c r="B25" s="35" t="s">
        <v>196</v>
      </c>
      <c r="C25" s="35" t="s">
        <v>197</v>
      </c>
      <c r="F25" s="45" t="s">
        <v>79</v>
      </c>
      <c r="G25" s="45" t="s">
        <v>80</v>
      </c>
    </row>
    <row r="26" spans="2:7" x14ac:dyDescent="0.3">
      <c r="B26" s="35" t="s">
        <v>174</v>
      </c>
      <c r="C26" s="35" t="s">
        <v>175</v>
      </c>
      <c r="F26" s="45" t="s">
        <v>215</v>
      </c>
      <c r="G26" s="45"/>
    </row>
    <row r="27" spans="2:7" x14ac:dyDescent="0.3">
      <c r="B27" s="62" t="s">
        <v>193</v>
      </c>
      <c r="C27" s="62" t="s">
        <v>194</v>
      </c>
      <c r="F27" s="45" t="s">
        <v>217</v>
      </c>
      <c r="G27" s="45" t="s">
        <v>218</v>
      </c>
    </row>
    <row r="28" spans="2:7" x14ac:dyDescent="0.3">
      <c r="B28" s="62" t="s">
        <v>282</v>
      </c>
      <c r="C28" s="62" t="s">
        <v>283</v>
      </c>
      <c r="F28" s="45" t="s">
        <v>220</v>
      </c>
      <c r="G28" s="45" t="s">
        <v>221</v>
      </c>
    </row>
    <row r="29" spans="2:7" x14ac:dyDescent="0.3">
      <c r="B29" s="63" t="s">
        <v>290</v>
      </c>
      <c r="C29" s="64">
        <v>800254196</v>
      </c>
      <c r="F29" s="45" t="s">
        <v>223</v>
      </c>
      <c r="G29" s="45" t="s">
        <v>225</v>
      </c>
    </row>
    <row r="30" spans="2:7" x14ac:dyDescent="0.3">
      <c r="B30" s="62" t="s">
        <v>291</v>
      </c>
      <c r="C30" s="62" t="s">
        <v>295</v>
      </c>
      <c r="F30" s="45" t="s">
        <v>226</v>
      </c>
      <c r="G30" s="45" t="s">
        <v>228</v>
      </c>
    </row>
    <row r="31" spans="2:7" x14ac:dyDescent="0.3">
      <c r="B31" s="62" t="s">
        <v>297</v>
      </c>
      <c r="C31" s="35" t="s">
        <v>298</v>
      </c>
      <c r="F31" s="45" t="s">
        <v>233</v>
      </c>
      <c r="G31" s="45" t="s">
        <v>235</v>
      </c>
    </row>
    <row r="32" spans="2:7" x14ac:dyDescent="0.3">
      <c r="B32" s="62" t="s">
        <v>300</v>
      </c>
      <c r="C32" s="35" t="s">
        <v>301</v>
      </c>
      <c r="F32" s="45" t="s">
        <v>238</v>
      </c>
      <c r="G32" s="45" t="s">
        <v>239</v>
      </c>
    </row>
    <row r="33" spans="2:7" x14ac:dyDescent="0.3">
      <c r="B33" s="35" t="s">
        <v>302</v>
      </c>
      <c r="C33" s="35" t="s">
        <v>303</v>
      </c>
      <c r="F33" s="45" t="s">
        <v>241</v>
      </c>
      <c r="G33" s="45" t="s">
        <v>242</v>
      </c>
    </row>
    <row r="34" spans="2:7" x14ac:dyDescent="0.3">
      <c r="B34" s="62" t="s">
        <v>309</v>
      </c>
      <c r="C34" s="35" t="s">
        <v>310</v>
      </c>
      <c r="F34" s="45" t="s">
        <v>244</v>
      </c>
      <c r="G34" s="45" t="s">
        <v>245</v>
      </c>
    </row>
    <row r="35" spans="2:7" x14ac:dyDescent="0.3">
      <c r="B35" s="62" t="s">
        <v>313</v>
      </c>
      <c r="C35" s="35" t="s">
        <v>315</v>
      </c>
      <c r="F35" s="45" t="s">
        <v>247</v>
      </c>
      <c r="G35" s="45" t="s">
        <v>249</v>
      </c>
    </row>
    <row r="36" spans="2:7" x14ac:dyDescent="0.3">
      <c r="B36" s="62" t="s">
        <v>316</v>
      </c>
      <c r="C36" s="35" t="s">
        <v>317</v>
      </c>
      <c r="F36" s="45" t="s">
        <v>250</v>
      </c>
      <c r="G36" s="45" t="s">
        <v>251</v>
      </c>
    </row>
    <row r="37" spans="2:7" x14ac:dyDescent="0.3">
      <c r="B37" s="62" t="s">
        <v>320</v>
      </c>
      <c r="C37" s="35" t="s">
        <v>321</v>
      </c>
      <c r="F37" s="45" t="s">
        <v>253</v>
      </c>
      <c r="G37" s="45" t="s">
        <v>254</v>
      </c>
    </row>
    <row r="38" spans="2:7" x14ac:dyDescent="0.3">
      <c r="B38" s="62" t="s">
        <v>323</v>
      </c>
      <c r="C38" s="35" t="s">
        <v>324</v>
      </c>
      <c r="F38" s="45" t="s">
        <v>256</v>
      </c>
      <c r="G38" s="45" t="s">
        <v>257</v>
      </c>
    </row>
    <row r="39" spans="2:7" x14ac:dyDescent="0.3">
      <c r="B39" s="62" t="s">
        <v>327</v>
      </c>
      <c r="C39" s="35" t="s">
        <v>328</v>
      </c>
      <c r="F39" s="45" t="s">
        <v>259</v>
      </c>
      <c r="G39" s="45" t="s">
        <v>260</v>
      </c>
    </row>
    <row r="40" spans="2:7" x14ac:dyDescent="0.3">
      <c r="B40" s="62" t="s">
        <v>333</v>
      </c>
      <c r="C40" s="35" t="s">
        <v>334</v>
      </c>
      <c r="F40" s="55" t="s">
        <v>140</v>
      </c>
      <c r="G40" s="55" t="s">
        <v>141</v>
      </c>
    </row>
    <row r="41" spans="2:7" x14ac:dyDescent="0.3">
      <c r="B41" s="62" t="s">
        <v>346</v>
      </c>
      <c r="C41" s="35" t="s">
        <v>345</v>
      </c>
      <c r="F41" s="55" t="s">
        <v>271</v>
      </c>
      <c r="G41" s="55" t="s">
        <v>273</v>
      </c>
    </row>
    <row r="42" spans="2:7" x14ac:dyDescent="0.3">
      <c r="B42" s="35" t="s">
        <v>348</v>
      </c>
      <c r="C42" s="35" t="s">
        <v>349</v>
      </c>
      <c r="F42" s="55" t="s">
        <v>285</v>
      </c>
      <c r="G42" s="55" t="s">
        <v>286</v>
      </c>
    </row>
  </sheetData>
  <mergeCells count="1">
    <mergeCell ref="B1:C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0"/>
  <sheetViews>
    <sheetView tabSelected="1" topLeftCell="A111" workbookViewId="0">
      <selection activeCell="G131" sqref="G131"/>
    </sheetView>
  </sheetViews>
  <sheetFormatPr baseColWidth="10" defaultRowHeight="14.4" x14ac:dyDescent="0.3"/>
  <cols>
    <col min="2" max="2" width="10" bestFit="1" customWidth="1"/>
    <col min="3" max="3" width="10.109375" bestFit="1" customWidth="1"/>
    <col min="4" max="4" width="9.44140625" customWidth="1"/>
    <col min="5" max="5" width="35.109375" bestFit="1" customWidth="1"/>
    <col min="10" max="10" width="56.109375" bestFit="1" customWidth="1"/>
    <col min="12" max="12" width="14.109375" bestFit="1" customWidth="1"/>
  </cols>
  <sheetData>
    <row r="1" spans="1:14" x14ac:dyDescent="0.3">
      <c r="L1" s="68">
        <f>+SUM(CLIENTE[slado])</f>
        <v>5315000.4000000004</v>
      </c>
    </row>
    <row r="2" spans="1:14" ht="27.6" x14ac:dyDescent="0.3">
      <c r="A2" s="25" t="s">
        <v>3</v>
      </c>
      <c r="B2" s="25" t="s">
        <v>201</v>
      </c>
      <c r="C2" s="25" t="s">
        <v>202</v>
      </c>
      <c r="D2" s="31" t="s">
        <v>199</v>
      </c>
      <c r="E2" s="25" t="s">
        <v>82</v>
      </c>
      <c r="F2" s="25" t="s">
        <v>6</v>
      </c>
      <c r="G2" s="25" t="s">
        <v>7</v>
      </c>
      <c r="H2" s="25" t="s">
        <v>83</v>
      </c>
      <c r="I2" s="25" t="s">
        <v>200</v>
      </c>
      <c r="J2" s="25" t="s">
        <v>10</v>
      </c>
      <c r="K2" s="25" t="s">
        <v>331</v>
      </c>
      <c r="L2" s="73" t="s">
        <v>332</v>
      </c>
      <c r="M2" s="73" t="s">
        <v>338</v>
      </c>
      <c r="N2" s="73" t="s">
        <v>340</v>
      </c>
    </row>
    <row r="3" spans="1:14" x14ac:dyDescent="0.3">
      <c r="A3" s="21">
        <v>43115</v>
      </c>
      <c r="B3" s="21" t="str">
        <f>TEXT(CLIENTE[[#This Row],[FECHA]],"MMMM")</f>
        <v>enero</v>
      </c>
      <c r="C3" s="21" t="str">
        <f>TEXT(CLIENTE[[#This Row],[FECHA]],"YYYY")</f>
        <v>2018</v>
      </c>
      <c r="D3" s="10">
        <v>48</v>
      </c>
      <c r="E3" s="10" t="s">
        <v>84</v>
      </c>
      <c r="F3" s="10" t="str">
        <f>VLOOKUP(CLIENTE[[#This Row],[CLIENTE]],Tabla5[],2,FALSE)</f>
        <v>890.907.797-4</v>
      </c>
      <c r="G3" s="12">
        <v>8470000</v>
      </c>
      <c r="H3" s="12">
        <f>+G3*3.5%</f>
        <v>296450</v>
      </c>
      <c r="I3" s="12">
        <f>+G3-H3</f>
        <v>8173550</v>
      </c>
      <c r="J3" s="10" t="s">
        <v>86</v>
      </c>
      <c r="K3" s="72">
        <v>8173550</v>
      </c>
      <c r="L3" s="72">
        <f>+CLIENTE[[#This Row],[VALOR]]-CLIENTE[[#This Row],[RTE FTE]]-CLIENTE[[#This Row],[Abono]]</f>
        <v>0</v>
      </c>
      <c r="M3" s="72"/>
      <c r="N3" s="72"/>
    </row>
    <row r="4" spans="1:14" x14ac:dyDescent="0.3">
      <c r="A4" s="22">
        <v>43122</v>
      </c>
      <c r="B4" s="22" t="str">
        <f>TEXT(CLIENTE[[#This Row],[FECHA]],"MMMM")</f>
        <v>enero</v>
      </c>
      <c r="C4" s="22" t="str">
        <f>TEXT(CLIENTE[[#This Row],[FECHA]],"YYYY")</f>
        <v>2018</v>
      </c>
      <c r="D4" s="11">
        <v>49</v>
      </c>
      <c r="E4" s="11" t="s">
        <v>87</v>
      </c>
      <c r="F4" s="10" t="str">
        <f>VLOOKUP(CLIENTE[[#This Row],[CLIENTE]],Tabla5[],2,FALSE)</f>
        <v>890.901.826-2</v>
      </c>
      <c r="G4" s="13">
        <v>810000</v>
      </c>
      <c r="H4" s="13">
        <v>0</v>
      </c>
      <c r="I4" s="13">
        <f t="shared" ref="I4:I5" si="0">+G4+H4</f>
        <v>810000</v>
      </c>
      <c r="J4" s="11" t="s">
        <v>89</v>
      </c>
      <c r="K4" s="72">
        <v>810000</v>
      </c>
      <c r="L4" s="72">
        <f>+CLIENTE[[#This Row],[VALOR]]-CLIENTE[[#This Row],[RTE FTE]]-CLIENTE[[#This Row],[Abono]]</f>
        <v>0</v>
      </c>
      <c r="M4" s="72"/>
      <c r="N4" s="72"/>
    </row>
    <row r="5" spans="1:14" x14ac:dyDescent="0.3">
      <c r="A5" s="21">
        <v>43126</v>
      </c>
      <c r="B5" s="21" t="str">
        <f>TEXT(CLIENTE[[#This Row],[FECHA]],"MMMM")</f>
        <v>enero</v>
      </c>
      <c r="C5" s="21" t="str">
        <f>TEXT(CLIENTE[[#This Row],[FECHA]],"YYYY")</f>
        <v>2018</v>
      </c>
      <c r="D5" s="10">
        <v>50</v>
      </c>
      <c r="E5" s="10" t="s">
        <v>90</v>
      </c>
      <c r="F5" s="10" t="str">
        <f>VLOOKUP(CLIENTE[[#This Row],[CLIENTE]],Tabla5[],2,FALSE)</f>
        <v>811.028.194-4</v>
      </c>
      <c r="G5" s="12">
        <v>380000</v>
      </c>
      <c r="H5" s="12">
        <v>0</v>
      </c>
      <c r="I5" s="12">
        <f t="shared" si="0"/>
        <v>380000</v>
      </c>
      <c r="J5" s="10" t="s">
        <v>92</v>
      </c>
      <c r="K5" s="72">
        <v>380000</v>
      </c>
      <c r="L5" s="72">
        <f>+CLIENTE[[#This Row],[VALOR]]-CLIENTE[[#This Row],[RTE FTE]]-CLIENTE[[#This Row],[Abono]]</f>
        <v>0</v>
      </c>
      <c r="M5" s="72"/>
      <c r="N5" s="72"/>
    </row>
    <row r="6" spans="1:14" x14ac:dyDescent="0.3">
      <c r="A6" s="22">
        <v>43126</v>
      </c>
      <c r="B6" s="22" t="str">
        <f>TEXT(CLIENTE[[#This Row],[FECHA]],"MMMM")</f>
        <v>enero</v>
      </c>
      <c r="C6" s="22" t="str">
        <f>TEXT(CLIENTE[[#This Row],[FECHA]],"YYYY")</f>
        <v>2018</v>
      </c>
      <c r="D6" s="11">
        <v>51</v>
      </c>
      <c r="E6" s="11" t="s">
        <v>93</v>
      </c>
      <c r="F6" s="10" t="str">
        <f>VLOOKUP(CLIENTE[[#This Row],[CLIENTE]],Tabla5[],2,FALSE)</f>
        <v>900.534.009-2</v>
      </c>
      <c r="G6" s="13">
        <v>403560</v>
      </c>
      <c r="H6" s="13">
        <f>+G6*6%</f>
        <v>24213.599999999999</v>
      </c>
      <c r="I6" s="13">
        <f>+G6-H6</f>
        <v>379346.4</v>
      </c>
      <c r="J6" s="11" t="s">
        <v>95</v>
      </c>
      <c r="K6" s="72">
        <v>379346</v>
      </c>
      <c r="L6" s="72">
        <f>+CLIENTE[[#This Row],[VALOR]]-CLIENTE[[#This Row],[RTE FTE]]-CLIENTE[[#This Row],[Abono]]</f>
        <v>0.40000000002328306</v>
      </c>
      <c r="M6" s="72"/>
      <c r="N6" s="72"/>
    </row>
    <row r="7" spans="1:14" x14ac:dyDescent="0.3">
      <c r="A7" s="21">
        <v>43136</v>
      </c>
      <c r="B7" s="21" t="str">
        <f>TEXT(CLIENTE[[#This Row],[FECHA]],"MMMM")</f>
        <v>febrero</v>
      </c>
      <c r="C7" s="21" t="str">
        <f>TEXT(CLIENTE[[#This Row],[FECHA]],"YYYY")</f>
        <v>2018</v>
      </c>
      <c r="D7" s="10">
        <v>52</v>
      </c>
      <c r="E7" s="10" t="s">
        <v>84</v>
      </c>
      <c r="F7" s="10" t="str">
        <f>VLOOKUP(CLIENTE[[#This Row],[CLIENTE]],Tabla5[],2,FALSE)</f>
        <v>890.907.797-4</v>
      </c>
      <c r="G7" s="12">
        <v>10890000</v>
      </c>
      <c r="H7" s="12">
        <f>+G7*3.5%</f>
        <v>381150.00000000006</v>
      </c>
      <c r="I7" s="12">
        <f t="shared" ref="I7:I31" si="1">+G7-H7</f>
        <v>10508850</v>
      </c>
      <c r="J7" s="10" t="s">
        <v>96</v>
      </c>
      <c r="K7" s="72">
        <v>10508850</v>
      </c>
      <c r="L7" s="72">
        <f>+CLIENTE[[#This Row],[VALOR]]-CLIENTE[[#This Row],[RTE FTE]]-CLIENTE[[#This Row],[Abono]]</f>
        <v>0</v>
      </c>
      <c r="M7" s="72"/>
      <c r="N7" s="72"/>
    </row>
    <row r="8" spans="1:14" x14ac:dyDescent="0.3">
      <c r="A8" s="22">
        <v>43138</v>
      </c>
      <c r="B8" s="22" t="str">
        <f>TEXT(CLIENTE[[#This Row],[FECHA]],"MMMM")</f>
        <v>febrero</v>
      </c>
      <c r="C8" s="22" t="str">
        <f>TEXT(CLIENTE[[#This Row],[FECHA]],"YYYY")</f>
        <v>2018</v>
      </c>
      <c r="D8" s="11">
        <v>53</v>
      </c>
      <c r="E8" s="11" t="s">
        <v>93</v>
      </c>
      <c r="F8" s="10" t="str">
        <f>VLOOKUP(CLIENTE[[#This Row],[CLIENTE]],Tabla5[],2,FALSE)</f>
        <v>900.534.009-2</v>
      </c>
      <c r="G8" s="13">
        <v>455800</v>
      </c>
      <c r="H8" s="13">
        <f>+G8*6%</f>
        <v>27348</v>
      </c>
      <c r="I8" s="13">
        <f t="shared" si="1"/>
        <v>428452</v>
      </c>
      <c r="J8" s="11" t="s">
        <v>97</v>
      </c>
      <c r="K8" s="72">
        <v>428452</v>
      </c>
      <c r="L8" s="72">
        <f>+CLIENTE[[#This Row],[VALOR]]-CLIENTE[[#This Row],[RTE FTE]]-CLIENTE[[#This Row],[Abono]]</f>
        <v>0</v>
      </c>
      <c r="M8" s="72"/>
      <c r="N8" s="72"/>
    </row>
    <row r="9" spans="1:14" x14ac:dyDescent="0.3">
      <c r="A9" s="21">
        <v>43139</v>
      </c>
      <c r="B9" s="21" t="str">
        <f>TEXT(CLIENTE[[#This Row],[FECHA]],"MMMM")</f>
        <v>febrero</v>
      </c>
      <c r="C9" s="21" t="str">
        <f>TEXT(CLIENTE[[#This Row],[FECHA]],"YYYY")</f>
        <v>2018</v>
      </c>
      <c r="D9" s="10">
        <v>54</v>
      </c>
      <c r="E9" s="10" t="s">
        <v>98</v>
      </c>
      <c r="F9" s="10" t="str">
        <f>VLOOKUP(CLIENTE[[#This Row],[CLIENTE]],Tabla5[],2,FALSE)</f>
        <v>890.939.592-0</v>
      </c>
      <c r="G9" s="12">
        <v>370000</v>
      </c>
      <c r="H9" s="12">
        <f>+G9*4%</f>
        <v>14800</v>
      </c>
      <c r="I9" s="12">
        <f t="shared" si="1"/>
        <v>355200</v>
      </c>
      <c r="J9" s="10" t="s">
        <v>100</v>
      </c>
      <c r="K9" s="72">
        <v>355200</v>
      </c>
      <c r="L9" s="72">
        <f>+CLIENTE[[#This Row],[VALOR]]-CLIENTE[[#This Row],[RTE FTE]]-CLIENTE[[#This Row],[Abono]]</f>
        <v>0</v>
      </c>
      <c r="M9" s="72"/>
      <c r="N9" s="72"/>
    </row>
    <row r="10" spans="1:14" x14ac:dyDescent="0.3">
      <c r="A10" s="22">
        <v>43152</v>
      </c>
      <c r="B10" s="22" t="str">
        <f>TEXT(CLIENTE[[#This Row],[FECHA]],"MMMM")</f>
        <v>febrero</v>
      </c>
      <c r="C10" s="22" t="str">
        <f>TEXT(CLIENTE[[#This Row],[FECHA]],"YYYY")</f>
        <v>2018</v>
      </c>
      <c r="D10" s="11">
        <v>57</v>
      </c>
      <c r="E10" s="11" t="s">
        <v>101</v>
      </c>
      <c r="F10" s="10" t="str">
        <f>VLOOKUP(CLIENTE[[#This Row],[CLIENTE]],Tabla5[],2,FALSE)</f>
        <v>900.730.853-0</v>
      </c>
      <c r="G10" s="13">
        <v>367200</v>
      </c>
      <c r="H10" s="13">
        <v>0</v>
      </c>
      <c r="I10" s="13">
        <f t="shared" si="1"/>
        <v>367200</v>
      </c>
      <c r="J10" s="11" t="s">
        <v>103</v>
      </c>
      <c r="K10" s="72">
        <v>367200</v>
      </c>
      <c r="L10" s="72">
        <f>+CLIENTE[[#This Row],[VALOR]]-CLIENTE[[#This Row],[RTE FTE]]-CLIENTE[[#This Row],[Abono]]</f>
        <v>0</v>
      </c>
      <c r="M10" s="72"/>
      <c r="N10" s="72"/>
    </row>
    <row r="11" spans="1:14" x14ac:dyDescent="0.3">
      <c r="A11" s="21">
        <v>43152</v>
      </c>
      <c r="B11" s="21" t="str">
        <f>TEXT(CLIENTE[[#This Row],[FECHA]],"MMMM")</f>
        <v>febrero</v>
      </c>
      <c r="C11" s="21" t="str">
        <f>TEXT(CLIENTE[[#This Row],[FECHA]],"YYYY")</f>
        <v>2018</v>
      </c>
      <c r="D11" s="10">
        <v>58</v>
      </c>
      <c r="E11" s="10" t="s">
        <v>104</v>
      </c>
      <c r="F11" s="10" t="str">
        <f>VLOOKUP(CLIENTE[[#This Row],[CLIENTE]],Tabla5[],2,FALSE)</f>
        <v>900.730.967-3</v>
      </c>
      <c r="G11" s="12">
        <v>350000</v>
      </c>
      <c r="H11" s="12">
        <f t="shared" ref="H11" si="2">+G11*19%</f>
        <v>66500</v>
      </c>
      <c r="I11" s="13">
        <f t="shared" si="1"/>
        <v>283500</v>
      </c>
      <c r="J11" s="10" t="s">
        <v>106</v>
      </c>
      <c r="K11" s="72">
        <v>283500</v>
      </c>
      <c r="L11" s="72">
        <f>+CLIENTE[[#This Row],[VALOR]]-CLIENTE[[#This Row],[RTE FTE]]-CLIENTE[[#This Row],[Abono]]</f>
        <v>0</v>
      </c>
      <c r="M11" s="72"/>
      <c r="N11" s="72"/>
    </row>
    <row r="12" spans="1:14" x14ac:dyDescent="0.3">
      <c r="A12" s="22">
        <v>43154</v>
      </c>
      <c r="B12" s="22" t="str">
        <f>TEXT(CLIENTE[[#This Row],[FECHA]],"MMMM")</f>
        <v>febrero</v>
      </c>
      <c r="C12" s="22" t="str">
        <f>TEXT(CLIENTE[[#This Row],[FECHA]],"YYYY")</f>
        <v>2018</v>
      </c>
      <c r="D12" s="11">
        <v>59</v>
      </c>
      <c r="E12" s="11" t="s">
        <v>93</v>
      </c>
      <c r="F12" s="10" t="str">
        <f>VLOOKUP(CLIENTE[[#This Row],[CLIENTE]],Tabla5[],2,FALSE)</f>
        <v>900.534.009-2</v>
      </c>
      <c r="G12" s="13">
        <v>560000</v>
      </c>
      <c r="H12" s="13">
        <f>+G12*6%</f>
        <v>33600</v>
      </c>
      <c r="I12" s="13">
        <f t="shared" si="1"/>
        <v>526400</v>
      </c>
      <c r="J12" s="11" t="s">
        <v>107</v>
      </c>
      <c r="K12" s="72">
        <v>526400</v>
      </c>
      <c r="L12" s="72">
        <f>+CLIENTE[[#This Row],[VALOR]]-CLIENTE[[#This Row],[RTE FTE]]-CLIENTE[[#This Row],[Abono]]</f>
        <v>0</v>
      </c>
      <c r="M12" s="72"/>
      <c r="N12" s="72"/>
    </row>
    <row r="13" spans="1:14" x14ac:dyDescent="0.3">
      <c r="A13" s="21">
        <v>43166</v>
      </c>
      <c r="B13" s="21" t="str">
        <f>TEXT(CLIENTE[[#This Row],[FECHA]],"MMMM")</f>
        <v>marzo</v>
      </c>
      <c r="C13" s="21" t="str">
        <f>TEXT(CLIENTE[[#This Row],[FECHA]],"YYYY")</f>
        <v>2018</v>
      </c>
      <c r="D13" s="10">
        <v>60</v>
      </c>
      <c r="E13" s="10" t="s">
        <v>84</v>
      </c>
      <c r="F13" s="10" t="str">
        <f>VLOOKUP(CLIENTE[[#This Row],[CLIENTE]],Tabla5[],2,FALSE)</f>
        <v>890.907.797-4</v>
      </c>
      <c r="G13" s="12">
        <v>3025000</v>
      </c>
      <c r="H13" s="12">
        <f>+G13*3.5%</f>
        <v>105875.00000000001</v>
      </c>
      <c r="I13" s="12">
        <f t="shared" si="1"/>
        <v>2919125</v>
      </c>
      <c r="J13" s="10" t="s">
        <v>108</v>
      </c>
      <c r="K13" s="72">
        <v>2919125</v>
      </c>
      <c r="L13" s="72">
        <f>+CLIENTE[[#This Row],[VALOR]]-CLIENTE[[#This Row],[RTE FTE]]-CLIENTE[[#This Row],[Abono]]</f>
        <v>0</v>
      </c>
      <c r="M13" s="72"/>
      <c r="N13" s="72"/>
    </row>
    <row r="14" spans="1:14" x14ac:dyDescent="0.3">
      <c r="A14" s="22">
        <v>43168</v>
      </c>
      <c r="B14" s="22" t="str">
        <f>TEXT(CLIENTE[[#This Row],[FECHA]],"MMMM")</f>
        <v>marzo</v>
      </c>
      <c r="C14" s="22" t="str">
        <f>TEXT(CLIENTE[[#This Row],[FECHA]],"YYYY")</f>
        <v>2018</v>
      </c>
      <c r="D14" s="11">
        <v>63</v>
      </c>
      <c r="E14" s="11" t="s">
        <v>109</v>
      </c>
      <c r="F14" s="10" t="str">
        <f>VLOOKUP(CLIENTE[[#This Row],[CLIENTE]],Tabla5[],2,FALSE)</f>
        <v>900.678.158-1</v>
      </c>
      <c r="G14" s="13">
        <v>650000</v>
      </c>
      <c r="H14" s="13">
        <v>0</v>
      </c>
      <c r="I14" s="13">
        <f t="shared" si="1"/>
        <v>650000</v>
      </c>
      <c r="J14" s="11" t="s">
        <v>111</v>
      </c>
      <c r="K14" s="72">
        <v>650000</v>
      </c>
      <c r="L14" s="72">
        <f>+CLIENTE[[#This Row],[VALOR]]-CLIENTE[[#This Row],[RTE FTE]]-CLIENTE[[#This Row],[Abono]]</f>
        <v>0</v>
      </c>
      <c r="M14" s="72"/>
      <c r="N14" s="72"/>
    </row>
    <row r="15" spans="1:14" x14ac:dyDescent="0.3">
      <c r="A15" s="21">
        <v>43228</v>
      </c>
      <c r="B15" s="21" t="str">
        <f>TEXT(CLIENTE[[#This Row],[FECHA]],"MMMM")</f>
        <v>mayo</v>
      </c>
      <c r="C15" s="21" t="str">
        <f>TEXT(CLIENTE[[#This Row],[FECHA]],"YYYY")</f>
        <v>2018</v>
      </c>
      <c r="D15" s="10">
        <v>64</v>
      </c>
      <c r="E15" s="10" t="s">
        <v>93</v>
      </c>
      <c r="F15" s="10" t="str">
        <f>VLOOKUP(CLIENTE[[#This Row],[CLIENTE]],Tabla5[],2,FALSE)</f>
        <v>900.534.009-2</v>
      </c>
      <c r="G15" s="12">
        <v>380000</v>
      </c>
      <c r="H15" s="12">
        <v>0</v>
      </c>
      <c r="I15" s="12">
        <f t="shared" si="1"/>
        <v>380000</v>
      </c>
      <c r="J15" s="10" t="s">
        <v>95</v>
      </c>
      <c r="K15" s="72">
        <v>380000</v>
      </c>
      <c r="L15" s="72">
        <f>+CLIENTE[[#This Row],[VALOR]]-CLIENTE[[#This Row],[RTE FTE]]-CLIENTE[[#This Row],[Abono]]</f>
        <v>0</v>
      </c>
      <c r="M15" s="72"/>
      <c r="N15" s="72"/>
    </row>
    <row r="16" spans="1:14" x14ac:dyDescent="0.3">
      <c r="A16" s="22">
        <v>43237</v>
      </c>
      <c r="B16" s="22" t="str">
        <f>TEXT(CLIENTE[[#This Row],[FECHA]],"MMMM")</f>
        <v>mayo</v>
      </c>
      <c r="C16" s="22" t="str">
        <f>TEXT(CLIENTE[[#This Row],[FECHA]],"YYYY")</f>
        <v>2018</v>
      </c>
      <c r="D16" s="11">
        <v>65</v>
      </c>
      <c r="E16" s="11" t="s">
        <v>93</v>
      </c>
      <c r="F16" s="10" t="str">
        <f>VLOOKUP(CLIENTE[[#This Row],[CLIENTE]],Tabla5[],2,FALSE)</f>
        <v>900.534.009-2</v>
      </c>
      <c r="G16" s="13">
        <v>330000</v>
      </c>
      <c r="H16" s="13">
        <v>0</v>
      </c>
      <c r="I16" s="13">
        <f t="shared" si="1"/>
        <v>330000</v>
      </c>
      <c r="J16" s="11" t="s">
        <v>112</v>
      </c>
      <c r="K16" s="72">
        <v>330000</v>
      </c>
      <c r="L16" s="72">
        <f>+CLIENTE[[#This Row],[VALOR]]-CLIENTE[[#This Row],[RTE FTE]]-CLIENTE[[#This Row],[Abono]]</f>
        <v>0</v>
      </c>
      <c r="M16" s="72"/>
      <c r="N16" s="72"/>
    </row>
    <row r="17" spans="1:14" x14ac:dyDescent="0.3">
      <c r="A17" s="21">
        <v>43238</v>
      </c>
      <c r="B17" s="21" t="str">
        <f>TEXT(CLIENTE[[#This Row],[FECHA]],"MMMM")</f>
        <v>mayo</v>
      </c>
      <c r="C17" s="21" t="str">
        <f>TEXT(CLIENTE[[#This Row],[FECHA]],"YYYY")</f>
        <v>2018</v>
      </c>
      <c r="D17" s="10">
        <v>66</v>
      </c>
      <c r="E17" s="10" t="s">
        <v>113</v>
      </c>
      <c r="F17" s="10" t="str">
        <f>VLOOKUP(CLIENTE[[#This Row],[CLIENTE]],Tabla5[],2,FALSE)</f>
        <v>901.092.692-9</v>
      </c>
      <c r="G17" s="12">
        <v>1200000</v>
      </c>
      <c r="H17" s="12">
        <f>+G17*4%</f>
        <v>48000</v>
      </c>
      <c r="I17" s="12">
        <f t="shared" si="1"/>
        <v>1152000</v>
      </c>
      <c r="J17" s="10" t="s">
        <v>115</v>
      </c>
      <c r="K17" s="72">
        <v>1152000</v>
      </c>
      <c r="L17" s="72">
        <f>+CLIENTE[[#This Row],[VALOR]]-CLIENTE[[#This Row],[RTE FTE]]-CLIENTE[[#This Row],[Abono]]</f>
        <v>0</v>
      </c>
      <c r="M17" s="72"/>
      <c r="N17" s="72"/>
    </row>
    <row r="18" spans="1:14" x14ac:dyDescent="0.3">
      <c r="A18" s="22">
        <v>43238</v>
      </c>
      <c r="B18" s="22" t="str">
        <f>TEXT(CLIENTE[[#This Row],[FECHA]],"MMMM")</f>
        <v>mayo</v>
      </c>
      <c r="C18" s="22" t="str">
        <f>TEXT(CLIENTE[[#This Row],[FECHA]],"YYYY")</f>
        <v>2018</v>
      </c>
      <c r="D18" s="11">
        <v>67</v>
      </c>
      <c r="E18" s="11" t="s">
        <v>113</v>
      </c>
      <c r="F18" s="10" t="str">
        <f>VLOOKUP(CLIENTE[[#This Row],[CLIENTE]],Tabla5[],2,FALSE)</f>
        <v>901.092.692-9</v>
      </c>
      <c r="G18" s="13">
        <v>1200000</v>
      </c>
      <c r="H18" s="13">
        <f>+G18*4%</f>
        <v>48000</v>
      </c>
      <c r="I18" s="13">
        <f t="shared" si="1"/>
        <v>1152000</v>
      </c>
      <c r="J18" s="11" t="s">
        <v>116</v>
      </c>
      <c r="K18" s="72">
        <v>1152000</v>
      </c>
      <c r="L18" s="72">
        <f>+CLIENTE[[#This Row],[VALOR]]-CLIENTE[[#This Row],[RTE FTE]]-CLIENTE[[#This Row],[Abono]]</f>
        <v>0</v>
      </c>
      <c r="M18" s="72"/>
      <c r="N18" s="72"/>
    </row>
    <row r="19" spans="1:14" x14ac:dyDescent="0.3">
      <c r="A19" s="21">
        <v>43243</v>
      </c>
      <c r="B19" s="21" t="str">
        <f>TEXT(CLIENTE[[#This Row],[FECHA]],"MMMM")</f>
        <v>mayo</v>
      </c>
      <c r="C19" s="21" t="str">
        <f>TEXT(CLIENTE[[#This Row],[FECHA]],"YYYY")</f>
        <v>2018</v>
      </c>
      <c r="D19" s="10">
        <v>68</v>
      </c>
      <c r="E19" s="10" t="s">
        <v>93</v>
      </c>
      <c r="F19" s="10" t="str">
        <f>VLOOKUP(CLIENTE[[#This Row],[CLIENTE]],Tabla5[],2,FALSE)</f>
        <v>900.534.009-2</v>
      </c>
      <c r="G19" s="12">
        <v>230000</v>
      </c>
      <c r="H19" s="12">
        <v>0</v>
      </c>
      <c r="I19" s="12">
        <f t="shared" si="1"/>
        <v>230000</v>
      </c>
      <c r="J19" s="10" t="s">
        <v>117</v>
      </c>
      <c r="K19" s="72">
        <v>230000</v>
      </c>
      <c r="L19" s="72">
        <f>+CLIENTE[[#This Row],[VALOR]]-CLIENTE[[#This Row],[RTE FTE]]-CLIENTE[[#This Row],[Abono]]</f>
        <v>0</v>
      </c>
      <c r="M19" s="72"/>
      <c r="N19" s="72"/>
    </row>
    <row r="20" spans="1:14" x14ac:dyDescent="0.3">
      <c r="A20" s="22">
        <v>43252</v>
      </c>
      <c r="B20" s="22" t="str">
        <f>TEXT(CLIENTE[[#This Row],[FECHA]],"MMMM")</f>
        <v>junio</v>
      </c>
      <c r="C20" s="22" t="str">
        <f>TEXT(CLIENTE[[#This Row],[FECHA]],"YYYY")</f>
        <v>2018</v>
      </c>
      <c r="D20" s="11">
        <v>69</v>
      </c>
      <c r="E20" s="11" t="s">
        <v>93</v>
      </c>
      <c r="F20" s="10" t="str">
        <f>VLOOKUP(CLIENTE[[#This Row],[CLIENTE]],Tabla5[],2,FALSE)</f>
        <v>900.534.009-2</v>
      </c>
      <c r="G20" s="13">
        <v>310000</v>
      </c>
      <c r="H20" s="13">
        <v>0</v>
      </c>
      <c r="I20" s="13">
        <f t="shared" si="1"/>
        <v>310000</v>
      </c>
      <c r="J20" s="11" t="s">
        <v>118</v>
      </c>
      <c r="K20" s="74">
        <v>310000</v>
      </c>
      <c r="L20" s="72">
        <f>+CLIENTE[[#This Row],[VALOR]]-CLIENTE[[#This Row],[RTE FTE]]-CLIENTE[[#This Row],[Abono]]</f>
        <v>0</v>
      </c>
      <c r="M20" s="72"/>
      <c r="N20" s="72"/>
    </row>
    <row r="21" spans="1:14" x14ac:dyDescent="0.3">
      <c r="A21" s="21">
        <v>43257</v>
      </c>
      <c r="B21" s="21" t="str">
        <f>TEXT(CLIENTE[[#This Row],[FECHA]],"MMMM")</f>
        <v>junio</v>
      </c>
      <c r="C21" s="21" t="str">
        <f>TEXT(CLIENTE[[#This Row],[FECHA]],"YYYY")</f>
        <v>2018</v>
      </c>
      <c r="D21" s="10">
        <v>70</v>
      </c>
      <c r="E21" s="10" t="s">
        <v>93</v>
      </c>
      <c r="F21" s="10" t="str">
        <f>VLOOKUP(CLIENTE[[#This Row],[CLIENTE]],Tabla5[],2,FALSE)</f>
        <v>900.534.009-2</v>
      </c>
      <c r="G21" s="12">
        <v>180000</v>
      </c>
      <c r="H21" s="12">
        <v>0</v>
      </c>
      <c r="I21" s="12">
        <f t="shared" si="1"/>
        <v>180000</v>
      </c>
      <c r="J21" s="10" t="s">
        <v>119</v>
      </c>
      <c r="K21" s="72">
        <v>180000</v>
      </c>
      <c r="L21" s="72">
        <f>+CLIENTE[[#This Row],[VALOR]]-CLIENTE[[#This Row],[RTE FTE]]-CLIENTE[[#This Row],[Abono]]</f>
        <v>0</v>
      </c>
      <c r="M21" s="72"/>
      <c r="N21" s="72"/>
    </row>
    <row r="22" spans="1:14" x14ac:dyDescent="0.3">
      <c r="A22" s="22">
        <v>43259</v>
      </c>
      <c r="B22" s="22" t="str">
        <f>TEXT(CLIENTE[[#This Row],[FECHA]],"MMMM")</f>
        <v>junio</v>
      </c>
      <c r="C22" s="22" t="str">
        <f>TEXT(CLIENTE[[#This Row],[FECHA]],"YYYY")</f>
        <v>2018</v>
      </c>
      <c r="D22" s="11">
        <v>71</v>
      </c>
      <c r="E22" s="11" t="s">
        <v>93</v>
      </c>
      <c r="F22" s="10" t="str">
        <f>VLOOKUP(CLIENTE[[#This Row],[CLIENTE]],Tabla5[],2,FALSE)</f>
        <v>900.534.009-2</v>
      </c>
      <c r="G22" s="13">
        <v>430000</v>
      </c>
      <c r="H22" s="13">
        <v>0</v>
      </c>
      <c r="I22" s="13">
        <f t="shared" si="1"/>
        <v>430000</v>
      </c>
      <c r="J22" s="11" t="s">
        <v>97</v>
      </c>
      <c r="K22" s="72">
        <v>430000</v>
      </c>
      <c r="L22" s="72">
        <f>+CLIENTE[[#This Row],[VALOR]]-CLIENTE[[#This Row],[RTE FTE]]-CLIENTE[[#This Row],[Abono]]</f>
        <v>0</v>
      </c>
      <c r="M22" s="72"/>
      <c r="N22" s="72"/>
    </row>
    <row r="23" spans="1:14" x14ac:dyDescent="0.3">
      <c r="A23" s="21">
        <v>43263</v>
      </c>
      <c r="B23" s="21" t="str">
        <f>TEXT(CLIENTE[[#This Row],[FECHA]],"MMMM")</f>
        <v>junio</v>
      </c>
      <c r="C23" s="21" t="str">
        <f>TEXT(CLIENTE[[#This Row],[FECHA]],"YYYY")</f>
        <v>2018</v>
      </c>
      <c r="D23" s="10">
        <v>72</v>
      </c>
      <c r="E23" s="10" t="s">
        <v>93</v>
      </c>
      <c r="F23" s="10" t="str">
        <f>VLOOKUP(CLIENTE[[#This Row],[CLIENTE]],Tabla5[],2,FALSE)</f>
        <v>900.534.009-2</v>
      </c>
      <c r="G23" s="12">
        <v>380000</v>
      </c>
      <c r="H23" s="12">
        <v>0</v>
      </c>
      <c r="I23" s="12">
        <f t="shared" si="1"/>
        <v>380000</v>
      </c>
      <c r="J23" s="10" t="s">
        <v>120</v>
      </c>
      <c r="K23" s="72">
        <v>380000</v>
      </c>
      <c r="L23" s="72">
        <f>+CLIENTE[[#This Row],[VALOR]]-CLIENTE[[#This Row],[RTE FTE]]-CLIENTE[[#This Row],[Abono]]</f>
        <v>0</v>
      </c>
      <c r="M23" s="72"/>
      <c r="N23" s="72"/>
    </row>
    <row r="24" spans="1:14" x14ac:dyDescent="0.3">
      <c r="A24" s="22">
        <v>43265</v>
      </c>
      <c r="B24" s="22" t="str">
        <f>TEXT(CLIENTE[[#This Row],[FECHA]],"MMMM")</f>
        <v>junio</v>
      </c>
      <c r="C24" s="22" t="str">
        <f>TEXT(CLIENTE[[#This Row],[FECHA]],"YYYY")</f>
        <v>2018</v>
      </c>
      <c r="D24" s="11">
        <v>73</v>
      </c>
      <c r="E24" s="11" t="s">
        <v>93</v>
      </c>
      <c r="F24" s="10" t="str">
        <f>VLOOKUP(CLIENTE[[#This Row],[CLIENTE]],Tabla5[],2,FALSE)</f>
        <v>900.534.009-2</v>
      </c>
      <c r="G24" s="13">
        <v>480000</v>
      </c>
      <c r="H24" s="13">
        <v>0</v>
      </c>
      <c r="I24" s="13">
        <f t="shared" si="1"/>
        <v>480000</v>
      </c>
      <c r="J24" s="11" t="s">
        <v>121</v>
      </c>
      <c r="K24" s="72">
        <v>480000</v>
      </c>
      <c r="L24" s="72">
        <f>+CLIENTE[[#This Row],[VALOR]]-CLIENTE[[#This Row],[RTE FTE]]-CLIENTE[[#This Row],[Abono]]</f>
        <v>0</v>
      </c>
      <c r="M24" s="72"/>
      <c r="N24" s="72"/>
    </row>
    <row r="25" spans="1:14" x14ac:dyDescent="0.3">
      <c r="A25" s="21">
        <v>43269</v>
      </c>
      <c r="B25" s="21" t="str">
        <f>TEXT(CLIENTE[[#This Row],[FECHA]],"MMMM")</f>
        <v>junio</v>
      </c>
      <c r="C25" s="21" t="str">
        <f>TEXT(CLIENTE[[#This Row],[FECHA]],"YYYY")</f>
        <v>2018</v>
      </c>
      <c r="D25" s="10">
        <v>74</v>
      </c>
      <c r="E25" s="10" t="s">
        <v>84</v>
      </c>
      <c r="F25" s="10" t="str">
        <f>VLOOKUP(CLIENTE[[#This Row],[CLIENTE]],Tabla5[],2,FALSE)</f>
        <v>890.907.797-4</v>
      </c>
      <c r="G25" s="12">
        <v>4235000</v>
      </c>
      <c r="H25" s="12">
        <f>+G25*3.5%</f>
        <v>148225</v>
      </c>
      <c r="I25" s="12">
        <f t="shared" si="1"/>
        <v>4086775</v>
      </c>
      <c r="J25" s="10" t="s">
        <v>122</v>
      </c>
      <c r="K25" s="72">
        <v>4086775</v>
      </c>
      <c r="L25" s="72">
        <f>+CLIENTE[[#This Row],[VALOR]]-CLIENTE[[#This Row],[RTE FTE]]-CLIENTE[[#This Row],[Abono]]</f>
        <v>0</v>
      </c>
      <c r="M25" s="72"/>
      <c r="N25" s="72"/>
    </row>
    <row r="26" spans="1:14" x14ac:dyDescent="0.3">
      <c r="A26" s="22">
        <v>43271</v>
      </c>
      <c r="B26" s="22" t="str">
        <f>TEXT(CLIENTE[[#This Row],[FECHA]],"MMMM")</f>
        <v>junio</v>
      </c>
      <c r="C26" s="22" t="str">
        <f>TEXT(CLIENTE[[#This Row],[FECHA]],"YYYY")</f>
        <v>2018</v>
      </c>
      <c r="D26" s="11">
        <v>75</v>
      </c>
      <c r="E26" s="11" t="s">
        <v>93</v>
      </c>
      <c r="F26" s="10" t="str">
        <f>VLOOKUP(CLIENTE[[#This Row],[CLIENTE]],Tabla5[],2,FALSE)</f>
        <v>900.534.009-2</v>
      </c>
      <c r="G26" s="13">
        <v>130000</v>
      </c>
      <c r="H26" s="13">
        <v>0</v>
      </c>
      <c r="I26" s="13">
        <f t="shared" si="1"/>
        <v>130000</v>
      </c>
      <c r="J26" s="11" t="s">
        <v>123</v>
      </c>
      <c r="K26" s="72">
        <v>130000</v>
      </c>
      <c r="L26" s="72">
        <f>+CLIENTE[[#This Row],[VALOR]]-CLIENTE[[#This Row],[RTE FTE]]-CLIENTE[[#This Row],[Abono]]</f>
        <v>0</v>
      </c>
      <c r="M26" s="72"/>
      <c r="N26" s="72"/>
    </row>
    <row r="27" spans="1:14" x14ac:dyDescent="0.3">
      <c r="A27" s="21">
        <v>43272</v>
      </c>
      <c r="B27" s="21" t="str">
        <f>TEXT(CLIENTE[[#This Row],[FECHA]],"MMMM")</f>
        <v>junio</v>
      </c>
      <c r="C27" s="21" t="str">
        <f>TEXT(CLIENTE[[#This Row],[FECHA]],"YYYY")</f>
        <v>2018</v>
      </c>
      <c r="D27" s="10">
        <v>76</v>
      </c>
      <c r="E27" s="10" t="s">
        <v>124</v>
      </c>
      <c r="F27" s="10" t="str">
        <f>VLOOKUP(CLIENTE[[#This Row],[CLIENTE]],Tabla5[],2,FALSE)</f>
        <v>900.171.792-2</v>
      </c>
      <c r="G27" s="12">
        <v>350000</v>
      </c>
      <c r="H27" s="12">
        <v>0</v>
      </c>
      <c r="I27" s="12">
        <f t="shared" si="1"/>
        <v>350000</v>
      </c>
      <c r="J27" s="10" t="s">
        <v>126</v>
      </c>
      <c r="K27" s="72">
        <v>350000</v>
      </c>
      <c r="L27" s="72">
        <f>+CLIENTE[[#This Row],[VALOR]]-CLIENTE[[#This Row],[RTE FTE]]-CLIENTE[[#This Row],[Abono]]</f>
        <v>0</v>
      </c>
      <c r="M27" s="72"/>
      <c r="N27" s="72"/>
    </row>
    <row r="28" spans="1:14" x14ac:dyDescent="0.3">
      <c r="A28" s="22">
        <v>43272</v>
      </c>
      <c r="B28" s="22" t="str">
        <f>TEXT(CLIENTE[[#This Row],[FECHA]],"MMMM")</f>
        <v>junio</v>
      </c>
      <c r="C28" s="22" t="str">
        <f>TEXT(CLIENTE[[#This Row],[FECHA]],"YYYY")</f>
        <v>2018</v>
      </c>
      <c r="D28" s="11">
        <v>77</v>
      </c>
      <c r="E28" s="11" t="s">
        <v>93</v>
      </c>
      <c r="F28" s="10" t="str">
        <f>VLOOKUP(CLIENTE[[#This Row],[CLIENTE]],Tabla5[],2,FALSE)</f>
        <v>900.534.009-2</v>
      </c>
      <c r="G28" s="13">
        <v>520000</v>
      </c>
      <c r="H28" s="13">
        <v>0</v>
      </c>
      <c r="I28" s="13">
        <f t="shared" si="1"/>
        <v>520000</v>
      </c>
      <c r="J28" s="11" t="s">
        <v>121</v>
      </c>
      <c r="K28" s="72">
        <v>520000</v>
      </c>
      <c r="L28" s="72">
        <f>+CLIENTE[[#This Row],[VALOR]]-CLIENTE[[#This Row],[RTE FTE]]-CLIENTE[[#This Row],[Abono]]</f>
        <v>0</v>
      </c>
      <c r="M28" s="72"/>
      <c r="N28" s="72"/>
    </row>
    <row r="29" spans="1:14" x14ac:dyDescent="0.3">
      <c r="A29" s="21">
        <v>43278</v>
      </c>
      <c r="B29" s="21" t="str">
        <f>TEXT(CLIENTE[[#This Row],[FECHA]],"MMMM")</f>
        <v>junio</v>
      </c>
      <c r="C29" s="21" t="str">
        <f>TEXT(CLIENTE[[#This Row],[FECHA]],"YYYY")</f>
        <v>2018</v>
      </c>
      <c r="D29" s="10">
        <v>78</v>
      </c>
      <c r="E29" s="10" t="s">
        <v>127</v>
      </c>
      <c r="F29" s="10" t="str">
        <f>VLOOKUP(CLIENTE[[#This Row],[CLIENTE]],Tabla5[],2,FALSE)</f>
        <v>98.640.058-9</v>
      </c>
      <c r="G29" s="12">
        <v>400000</v>
      </c>
      <c r="H29" s="12">
        <v>0</v>
      </c>
      <c r="I29" s="12">
        <f t="shared" si="1"/>
        <v>400000</v>
      </c>
      <c r="J29" s="10" t="s">
        <v>129</v>
      </c>
      <c r="K29" s="72">
        <v>400000</v>
      </c>
      <c r="L29" s="72">
        <f>+CLIENTE[[#This Row],[VALOR]]-CLIENTE[[#This Row],[RTE FTE]]-CLIENTE[[#This Row],[Abono]]</f>
        <v>0</v>
      </c>
      <c r="M29" s="72"/>
      <c r="N29" s="72"/>
    </row>
    <row r="30" spans="1:14" x14ac:dyDescent="0.3">
      <c r="A30" s="22">
        <v>43278</v>
      </c>
      <c r="B30" s="22" t="str">
        <f>TEXT(CLIENTE[[#This Row],[FECHA]],"MMMM")</f>
        <v>junio</v>
      </c>
      <c r="C30" s="22" t="str">
        <f>TEXT(CLIENTE[[#This Row],[FECHA]],"YYYY")</f>
        <v>2018</v>
      </c>
      <c r="D30" s="11">
        <v>79</v>
      </c>
      <c r="E30" s="11" t="s">
        <v>93</v>
      </c>
      <c r="F30" s="10" t="str">
        <f>VLOOKUP(CLIENTE[[#This Row],[CLIENTE]],Tabla5[],2,FALSE)</f>
        <v>900.534.009-2</v>
      </c>
      <c r="G30" s="13">
        <v>800000</v>
      </c>
      <c r="H30" s="13">
        <v>0</v>
      </c>
      <c r="I30" s="13">
        <f t="shared" si="1"/>
        <v>800000</v>
      </c>
      <c r="J30" s="11" t="s">
        <v>130</v>
      </c>
      <c r="K30" s="72">
        <v>800000</v>
      </c>
      <c r="L30" s="72">
        <f>+CLIENTE[[#This Row],[VALOR]]-CLIENTE[[#This Row],[RTE FTE]]-CLIENTE[[#This Row],[Abono]]</f>
        <v>0</v>
      </c>
      <c r="M30" s="72"/>
      <c r="N30" s="72"/>
    </row>
    <row r="31" spans="1:14" x14ac:dyDescent="0.3">
      <c r="A31" s="21">
        <v>43278</v>
      </c>
      <c r="B31" s="21" t="str">
        <f>TEXT(CLIENTE[[#This Row],[FECHA]],"MMMM")</f>
        <v>junio</v>
      </c>
      <c r="C31" s="21" t="str">
        <f>TEXT(CLIENTE[[#This Row],[FECHA]],"YYYY")</f>
        <v>2018</v>
      </c>
      <c r="D31" s="10">
        <v>80</v>
      </c>
      <c r="E31" s="10" t="s">
        <v>93</v>
      </c>
      <c r="F31" s="10" t="str">
        <f>VLOOKUP(CLIENTE[[#This Row],[CLIENTE]],Tabla5[],2,FALSE)</f>
        <v>900.534.009-2</v>
      </c>
      <c r="G31" s="12">
        <v>410000</v>
      </c>
      <c r="H31" s="12">
        <v>0</v>
      </c>
      <c r="I31" s="12">
        <f t="shared" si="1"/>
        <v>410000</v>
      </c>
      <c r="J31" s="10" t="s">
        <v>95</v>
      </c>
      <c r="K31" s="72">
        <v>410000</v>
      </c>
      <c r="L31" s="72">
        <f>+CLIENTE[[#This Row],[VALOR]]-CLIENTE[[#This Row],[RTE FTE]]-CLIENTE[[#This Row],[Abono]]</f>
        <v>0</v>
      </c>
      <c r="M31" s="72"/>
      <c r="N31" s="72"/>
    </row>
    <row r="32" spans="1:14" x14ac:dyDescent="0.3">
      <c r="A32" s="22">
        <v>43284</v>
      </c>
      <c r="B32" s="22" t="str">
        <f>TEXT(CLIENTE[[#This Row],[FECHA]],"MMMM")</f>
        <v>julio</v>
      </c>
      <c r="C32" s="22" t="str">
        <f>TEXT(CLIENTE[[#This Row],[FECHA]],"YYYY")</f>
        <v>2018</v>
      </c>
      <c r="D32" s="11">
        <v>81</v>
      </c>
      <c r="E32" s="11" t="s">
        <v>113</v>
      </c>
      <c r="F32" s="10" t="str">
        <f>VLOOKUP(CLIENTE[[#This Row],[CLIENTE]],Tabla5[],2,FALSE)</f>
        <v>901.092.692-9</v>
      </c>
      <c r="G32" s="13">
        <v>1200000</v>
      </c>
      <c r="H32" s="13">
        <f>+G32*4%</f>
        <v>48000</v>
      </c>
      <c r="I32" s="13">
        <f>+G32-H32</f>
        <v>1152000</v>
      </c>
      <c r="J32" s="11" t="s">
        <v>131</v>
      </c>
      <c r="K32" s="72">
        <v>1152000</v>
      </c>
      <c r="L32" s="72">
        <f>+CLIENTE[[#This Row],[VALOR]]-CLIENTE[[#This Row],[RTE FTE]]-CLIENTE[[#This Row],[Abono]]</f>
        <v>0</v>
      </c>
      <c r="M32" s="72"/>
      <c r="N32" s="72"/>
    </row>
    <row r="33" spans="1:14" x14ac:dyDescent="0.3">
      <c r="A33" s="21">
        <v>43285</v>
      </c>
      <c r="B33" s="21" t="str">
        <f>TEXT(CLIENTE[[#This Row],[FECHA]],"MMMM")</f>
        <v>julio</v>
      </c>
      <c r="C33" s="21" t="str">
        <f>TEXT(CLIENTE[[#This Row],[FECHA]],"YYYY")</f>
        <v>2018</v>
      </c>
      <c r="D33" s="10">
        <v>82</v>
      </c>
      <c r="E33" s="10" t="s">
        <v>93</v>
      </c>
      <c r="F33" s="10" t="str">
        <f>VLOOKUP(CLIENTE[[#This Row],[CLIENTE]],Tabla5[],2,FALSE)</f>
        <v>900.534.009-2</v>
      </c>
      <c r="G33" s="12">
        <v>580000</v>
      </c>
      <c r="H33" s="12">
        <v>0</v>
      </c>
      <c r="I33" s="12">
        <f t="shared" ref="I33:I65" si="3">+G33-H33</f>
        <v>580000</v>
      </c>
      <c r="J33" s="10" t="s">
        <v>132</v>
      </c>
      <c r="K33" s="72">
        <v>580000</v>
      </c>
      <c r="L33" s="72">
        <f>+CLIENTE[[#This Row],[VALOR]]-CLIENTE[[#This Row],[RTE FTE]]-CLIENTE[[#This Row],[Abono]]</f>
        <v>0</v>
      </c>
      <c r="M33" s="72"/>
      <c r="N33" s="72"/>
    </row>
    <row r="34" spans="1:14" x14ac:dyDescent="0.3">
      <c r="A34" s="22">
        <v>43291</v>
      </c>
      <c r="B34" s="22" t="str">
        <f>TEXT(CLIENTE[[#This Row],[FECHA]],"MMMM")</f>
        <v>julio</v>
      </c>
      <c r="C34" s="22" t="str">
        <f>TEXT(CLIENTE[[#This Row],[FECHA]],"YYYY")</f>
        <v>2018</v>
      </c>
      <c r="D34" s="11">
        <v>83</v>
      </c>
      <c r="E34" s="11" t="s">
        <v>93</v>
      </c>
      <c r="F34" s="10" t="str">
        <f>VLOOKUP(CLIENTE[[#This Row],[CLIENTE]],Tabla5[],2,FALSE)</f>
        <v>900.534.009-2</v>
      </c>
      <c r="G34" s="13">
        <v>430000</v>
      </c>
      <c r="H34" s="13">
        <v>0</v>
      </c>
      <c r="I34" s="13">
        <f t="shared" si="3"/>
        <v>430000</v>
      </c>
      <c r="J34" s="11" t="s">
        <v>133</v>
      </c>
      <c r="K34" s="72">
        <v>430000</v>
      </c>
      <c r="L34" s="72">
        <f>+CLIENTE[[#This Row],[VALOR]]-CLIENTE[[#This Row],[RTE FTE]]-CLIENTE[[#This Row],[Abono]]</f>
        <v>0</v>
      </c>
      <c r="M34" s="72"/>
      <c r="N34" s="72"/>
    </row>
    <row r="35" spans="1:14" x14ac:dyDescent="0.3">
      <c r="A35" s="21">
        <v>43292</v>
      </c>
      <c r="B35" s="21" t="str">
        <f>TEXT(CLIENTE[[#This Row],[FECHA]],"MMMM")</f>
        <v>julio</v>
      </c>
      <c r="C35" s="21" t="str">
        <f>TEXT(CLIENTE[[#This Row],[FECHA]],"YYYY")</f>
        <v>2018</v>
      </c>
      <c r="D35" s="10">
        <v>84</v>
      </c>
      <c r="E35" s="10" t="s">
        <v>93</v>
      </c>
      <c r="F35" s="10" t="str">
        <f>VLOOKUP(CLIENTE[[#This Row],[CLIENTE]],Tabla5[],2,FALSE)</f>
        <v>900.534.009-2</v>
      </c>
      <c r="G35" s="12">
        <v>430000</v>
      </c>
      <c r="H35" s="12">
        <v>0</v>
      </c>
      <c r="I35" s="12">
        <f t="shared" si="3"/>
        <v>430000</v>
      </c>
      <c r="J35" s="10" t="s">
        <v>97</v>
      </c>
      <c r="K35" s="72">
        <v>430000</v>
      </c>
      <c r="L35" s="72">
        <f>+CLIENTE[[#This Row],[VALOR]]-CLIENTE[[#This Row],[RTE FTE]]-CLIENTE[[#This Row],[Abono]]</f>
        <v>0</v>
      </c>
      <c r="M35" s="72"/>
      <c r="N35" s="72"/>
    </row>
    <row r="36" spans="1:14" x14ac:dyDescent="0.3">
      <c r="A36" s="22">
        <v>43293</v>
      </c>
      <c r="B36" s="22" t="str">
        <f>TEXT(CLIENTE[[#This Row],[FECHA]],"MMMM")</f>
        <v>julio</v>
      </c>
      <c r="C36" s="22" t="str">
        <f>TEXT(CLIENTE[[#This Row],[FECHA]],"YYYY")</f>
        <v>2018</v>
      </c>
      <c r="D36" s="11">
        <v>85</v>
      </c>
      <c r="E36" s="11" t="s">
        <v>93</v>
      </c>
      <c r="F36" s="10" t="str">
        <f>VLOOKUP(CLIENTE[[#This Row],[CLIENTE]],Tabla5[],2,FALSE)</f>
        <v>900.534.009-2</v>
      </c>
      <c r="G36" s="13">
        <v>230000</v>
      </c>
      <c r="H36" s="13">
        <v>0</v>
      </c>
      <c r="I36" s="13">
        <f t="shared" si="3"/>
        <v>230000</v>
      </c>
      <c r="J36" s="11" t="s">
        <v>117</v>
      </c>
      <c r="K36" s="72">
        <v>230000</v>
      </c>
      <c r="L36" s="72">
        <f>+CLIENTE[[#This Row],[VALOR]]-CLIENTE[[#This Row],[RTE FTE]]-CLIENTE[[#This Row],[Abono]]</f>
        <v>0</v>
      </c>
      <c r="M36" s="72"/>
      <c r="N36" s="72"/>
    </row>
    <row r="37" spans="1:14" x14ac:dyDescent="0.3">
      <c r="A37" s="21">
        <v>43300</v>
      </c>
      <c r="B37" s="21" t="str">
        <f>TEXT(CLIENTE[[#This Row],[FECHA]],"MMMM")</f>
        <v>julio</v>
      </c>
      <c r="C37" s="21" t="str">
        <f>TEXT(CLIENTE[[#This Row],[FECHA]],"YYYY")</f>
        <v>2018</v>
      </c>
      <c r="D37" s="10">
        <v>86</v>
      </c>
      <c r="E37" s="10" t="s">
        <v>93</v>
      </c>
      <c r="F37" s="10" t="str">
        <f>VLOOKUP(CLIENTE[[#This Row],[CLIENTE]],Tabla5[],2,FALSE)</f>
        <v>900.534.009-2</v>
      </c>
      <c r="G37" s="12">
        <v>190000</v>
      </c>
      <c r="H37" s="12">
        <v>0</v>
      </c>
      <c r="I37" s="12">
        <f t="shared" si="3"/>
        <v>190000</v>
      </c>
      <c r="J37" s="10" t="s">
        <v>123</v>
      </c>
      <c r="K37" s="72">
        <v>190000</v>
      </c>
      <c r="L37" s="72">
        <f>+CLIENTE[[#This Row],[VALOR]]-CLIENTE[[#This Row],[RTE FTE]]-CLIENTE[[#This Row],[Abono]]</f>
        <v>0</v>
      </c>
      <c r="M37" s="72"/>
      <c r="N37" s="72"/>
    </row>
    <row r="38" spans="1:14" x14ac:dyDescent="0.3">
      <c r="A38" s="22">
        <v>43304</v>
      </c>
      <c r="B38" s="22" t="str">
        <f>TEXT(CLIENTE[[#This Row],[FECHA]],"MMMM")</f>
        <v>julio</v>
      </c>
      <c r="C38" s="22" t="str">
        <f>TEXT(CLIENTE[[#This Row],[FECHA]],"YYYY")</f>
        <v>2018</v>
      </c>
      <c r="D38" s="11">
        <v>87</v>
      </c>
      <c r="E38" s="11" t="s">
        <v>93</v>
      </c>
      <c r="F38" s="10" t="str">
        <f>VLOOKUP(CLIENTE[[#This Row],[CLIENTE]],Tabla5[],2,FALSE)</f>
        <v>900.534.009-2</v>
      </c>
      <c r="G38" s="13">
        <v>480000</v>
      </c>
      <c r="H38" s="13">
        <v>0</v>
      </c>
      <c r="I38" s="13">
        <f t="shared" si="3"/>
        <v>480000</v>
      </c>
      <c r="J38" s="11" t="s">
        <v>121</v>
      </c>
      <c r="K38" s="72">
        <v>480000</v>
      </c>
      <c r="L38" s="72">
        <f>+CLIENTE[[#This Row],[VALOR]]-CLIENTE[[#This Row],[RTE FTE]]-CLIENTE[[#This Row],[Abono]]</f>
        <v>0</v>
      </c>
      <c r="M38" s="72"/>
      <c r="N38" s="72"/>
    </row>
    <row r="39" spans="1:14" x14ac:dyDescent="0.3">
      <c r="A39" s="21">
        <v>43307</v>
      </c>
      <c r="B39" s="21" t="str">
        <f>TEXT(CLIENTE[[#This Row],[FECHA]],"MMMM")</f>
        <v>julio</v>
      </c>
      <c r="C39" s="21" t="str">
        <f>TEXT(CLIENTE[[#This Row],[FECHA]],"YYYY")</f>
        <v>2018</v>
      </c>
      <c r="D39" s="10">
        <v>88</v>
      </c>
      <c r="E39" s="10" t="s">
        <v>93</v>
      </c>
      <c r="F39" s="10" t="str">
        <f>VLOOKUP(CLIENTE[[#This Row],[CLIENTE]],Tabla5[],2,FALSE)</f>
        <v>900.534.009-2</v>
      </c>
      <c r="G39" s="12">
        <v>380000</v>
      </c>
      <c r="H39" s="12">
        <v>0</v>
      </c>
      <c r="I39" s="12">
        <f t="shared" si="3"/>
        <v>380000</v>
      </c>
      <c r="J39" s="10" t="s">
        <v>95</v>
      </c>
      <c r="K39" s="72">
        <v>380000</v>
      </c>
      <c r="L39" s="72">
        <f>+CLIENTE[[#This Row],[VALOR]]-CLIENTE[[#This Row],[RTE FTE]]-CLIENTE[[#This Row],[Abono]]</f>
        <v>0</v>
      </c>
      <c r="M39" s="72"/>
      <c r="N39" s="72"/>
    </row>
    <row r="40" spans="1:14" x14ac:dyDescent="0.3">
      <c r="A40" s="22">
        <v>43309</v>
      </c>
      <c r="B40" s="22" t="str">
        <f>TEXT(CLIENTE[[#This Row],[FECHA]],"MMMM")</f>
        <v>julio</v>
      </c>
      <c r="C40" s="22" t="str">
        <f>TEXT(CLIENTE[[#This Row],[FECHA]],"YYYY")</f>
        <v>2018</v>
      </c>
      <c r="D40" s="11">
        <v>89</v>
      </c>
      <c r="E40" s="11" t="s">
        <v>90</v>
      </c>
      <c r="F40" s="10" t="str">
        <f>VLOOKUP(CLIENTE[[#This Row],[CLIENTE]],Tabla5[],2,FALSE)</f>
        <v>811.028.194-4</v>
      </c>
      <c r="G40" s="13">
        <v>150000</v>
      </c>
      <c r="H40" s="13">
        <v>0</v>
      </c>
      <c r="I40" s="13">
        <f t="shared" si="3"/>
        <v>150000</v>
      </c>
      <c r="J40" s="11" t="s">
        <v>134</v>
      </c>
      <c r="K40" s="72">
        <v>150000</v>
      </c>
      <c r="L40" s="72">
        <f>+CLIENTE[[#This Row],[VALOR]]-CLIENTE[[#This Row],[RTE FTE]]-CLIENTE[[#This Row],[Abono]]</f>
        <v>0</v>
      </c>
      <c r="M40" s="72"/>
      <c r="N40" s="72"/>
    </row>
    <row r="41" spans="1:14" x14ac:dyDescent="0.3">
      <c r="A41" s="21">
        <v>43315</v>
      </c>
      <c r="B41" s="21" t="str">
        <f>TEXT(CLIENTE[[#This Row],[FECHA]],"MMMM")</f>
        <v>agosto</v>
      </c>
      <c r="C41" s="21" t="str">
        <f>TEXT(CLIENTE[[#This Row],[FECHA]],"YYYY")</f>
        <v>2018</v>
      </c>
      <c r="D41" s="10">
        <v>90</v>
      </c>
      <c r="E41" s="10" t="s">
        <v>113</v>
      </c>
      <c r="F41" s="10" t="str">
        <f>VLOOKUP(CLIENTE[[#This Row],[CLIENTE]],Tabla5[],2,FALSE)</f>
        <v>901.092.692-9</v>
      </c>
      <c r="G41" s="12">
        <v>1200000</v>
      </c>
      <c r="H41" s="12">
        <f>+G41*3.5%</f>
        <v>42000.000000000007</v>
      </c>
      <c r="I41" s="12">
        <f t="shared" si="3"/>
        <v>1158000</v>
      </c>
      <c r="J41" s="10" t="s">
        <v>135</v>
      </c>
      <c r="K41" s="72">
        <v>1158000</v>
      </c>
      <c r="L41" s="72">
        <f>+CLIENTE[[#This Row],[VALOR]]-CLIENTE[[#This Row],[RTE FTE]]-CLIENTE[[#This Row],[Abono]]</f>
        <v>0</v>
      </c>
      <c r="M41" s="72"/>
      <c r="N41" s="72"/>
    </row>
    <row r="42" spans="1:14" x14ac:dyDescent="0.3">
      <c r="A42" s="22">
        <v>43321</v>
      </c>
      <c r="B42" s="22" t="str">
        <f>TEXT(CLIENTE[[#This Row],[FECHA]],"MMMM")</f>
        <v>agosto</v>
      </c>
      <c r="C42" s="22" t="str">
        <f>TEXT(CLIENTE[[#This Row],[FECHA]],"YYYY")</f>
        <v>2018</v>
      </c>
      <c r="D42" s="11">
        <v>91</v>
      </c>
      <c r="E42" s="11" t="s">
        <v>93</v>
      </c>
      <c r="F42" s="10" t="str">
        <f>VLOOKUP(CLIENTE[[#This Row],[CLIENTE]],Tabla5[],2,FALSE)</f>
        <v>900.534.009-2</v>
      </c>
      <c r="G42" s="13">
        <v>630000</v>
      </c>
      <c r="H42" s="13">
        <v>0</v>
      </c>
      <c r="I42" s="13">
        <f t="shared" si="3"/>
        <v>630000</v>
      </c>
      <c r="J42" s="11" t="s">
        <v>136</v>
      </c>
      <c r="K42" s="72">
        <v>630000</v>
      </c>
      <c r="L42" s="72">
        <f>+CLIENTE[[#This Row],[VALOR]]-CLIENTE[[#This Row],[RTE FTE]]-CLIENTE[[#This Row],[Abono]]</f>
        <v>0</v>
      </c>
      <c r="M42" s="72"/>
      <c r="N42" s="72"/>
    </row>
    <row r="43" spans="1:14" x14ac:dyDescent="0.3">
      <c r="A43" s="21">
        <v>43322</v>
      </c>
      <c r="B43" s="21" t="str">
        <f>TEXT(CLIENTE[[#This Row],[FECHA]],"MMMM")</f>
        <v>agosto</v>
      </c>
      <c r="C43" s="21" t="str">
        <f>TEXT(CLIENTE[[#This Row],[FECHA]],"YYYY")</f>
        <v>2018</v>
      </c>
      <c r="D43" s="10">
        <v>92</v>
      </c>
      <c r="E43" s="10" t="s">
        <v>93</v>
      </c>
      <c r="F43" s="10" t="str">
        <f>VLOOKUP(CLIENTE[[#This Row],[CLIENTE]],Tabla5[],2,FALSE)</f>
        <v>900.534.009-2</v>
      </c>
      <c r="G43" s="12">
        <v>280000</v>
      </c>
      <c r="H43" s="12">
        <v>0</v>
      </c>
      <c r="I43" s="12">
        <f t="shared" si="3"/>
        <v>280000</v>
      </c>
      <c r="J43" s="10" t="s">
        <v>133</v>
      </c>
      <c r="K43" s="72">
        <v>280000</v>
      </c>
      <c r="L43" s="72">
        <f>+CLIENTE[[#This Row],[VALOR]]-CLIENTE[[#This Row],[RTE FTE]]-CLIENTE[[#This Row],[Abono]]</f>
        <v>0</v>
      </c>
      <c r="M43" s="72"/>
      <c r="N43" s="72"/>
    </row>
    <row r="44" spans="1:14" x14ac:dyDescent="0.3">
      <c r="A44" s="22">
        <v>43333</v>
      </c>
      <c r="B44" s="22" t="str">
        <f>TEXT(CLIENTE[[#This Row],[FECHA]],"MMMM")</f>
        <v>agosto</v>
      </c>
      <c r="C44" s="22" t="str">
        <f>TEXT(CLIENTE[[#This Row],[FECHA]],"YYYY")</f>
        <v>2018</v>
      </c>
      <c r="D44" s="11">
        <v>93</v>
      </c>
      <c r="E44" s="11" t="s">
        <v>137</v>
      </c>
      <c r="F44" s="10" t="str">
        <f>VLOOKUP(CLIENTE[[#This Row],[CLIENTE]],Tabla5[],2,FALSE)</f>
        <v>860.013.526-9</v>
      </c>
      <c r="G44" s="13">
        <v>185000</v>
      </c>
      <c r="H44" s="13">
        <v>0</v>
      </c>
      <c r="I44" s="13">
        <f t="shared" si="3"/>
        <v>185000</v>
      </c>
      <c r="J44" s="11" t="s">
        <v>139</v>
      </c>
      <c r="K44" s="72">
        <v>185000</v>
      </c>
      <c r="L44" s="72">
        <f>+CLIENTE[[#This Row],[VALOR]]-CLIENTE[[#This Row],[RTE FTE]]-CLIENTE[[#This Row],[Abono]]</f>
        <v>0</v>
      </c>
      <c r="M44" s="72"/>
      <c r="N44" s="72"/>
    </row>
    <row r="45" spans="1:14" x14ac:dyDescent="0.3">
      <c r="A45" s="21">
        <v>43335</v>
      </c>
      <c r="B45" s="21" t="str">
        <f>TEXT(CLIENTE[[#This Row],[FECHA]],"MMMM")</f>
        <v>agosto</v>
      </c>
      <c r="C45" s="21" t="str">
        <f>TEXT(CLIENTE[[#This Row],[FECHA]],"YYYY")</f>
        <v>2018</v>
      </c>
      <c r="D45" s="10">
        <v>94</v>
      </c>
      <c r="E45" s="10" t="s">
        <v>140</v>
      </c>
      <c r="F45" s="10" t="str">
        <f>VLOOKUP(CLIENTE[[#This Row],[CLIENTE]],Tabla5[],2,FALSE)</f>
        <v>900.378.955-6</v>
      </c>
      <c r="G45" s="12">
        <v>100000</v>
      </c>
      <c r="H45" s="12">
        <v>0</v>
      </c>
      <c r="I45" s="12">
        <f t="shared" si="3"/>
        <v>100000</v>
      </c>
      <c r="J45" s="10" t="s">
        <v>142</v>
      </c>
      <c r="K45" s="72">
        <v>100000</v>
      </c>
      <c r="L45" s="72">
        <f>+CLIENTE[[#This Row],[VALOR]]-CLIENTE[[#This Row],[RTE FTE]]-CLIENTE[[#This Row],[Abono]]</f>
        <v>0</v>
      </c>
      <c r="M45" s="72"/>
      <c r="N45" s="72"/>
    </row>
    <row r="46" spans="1:14" x14ac:dyDescent="0.3">
      <c r="A46" s="22">
        <v>43342</v>
      </c>
      <c r="B46" s="22" t="str">
        <f>TEXT(CLIENTE[[#This Row],[FECHA]],"MMMM")</f>
        <v>agosto</v>
      </c>
      <c r="C46" s="22" t="str">
        <f>TEXT(CLIENTE[[#This Row],[FECHA]],"YYYY")</f>
        <v>2018</v>
      </c>
      <c r="D46" s="11">
        <v>95</v>
      </c>
      <c r="E46" s="11" t="s">
        <v>93</v>
      </c>
      <c r="F46" s="10" t="str">
        <f>VLOOKUP(CLIENTE[[#This Row],[CLIENTE]],Tabla5[],2,FALSE)</f>
        <v>900.534.009-2</v>
      </c>
      <c r="G46" s="13">
        <v>380000</v>
      </c>
      <c r="H46" s="13">
        <v>0</v>
      </c>
      <c r="I46" s="13">
        <f t="shared" si="3"/>
        <v>380000</v>
      </c>
      <c r="J46" s="11" t="s">
        <v>95</v>
      </c>
      <c r="K46" s="72">
        <v>380000</v>
      </c>
      <c r="L46" s="72">
        <f>+CLIENTE[[#This Row],[VALOR]]-CLIENTE[[#This Row],[RTE FTE]]-CLIENTE[[#This Row],[Abono]]</f>
        <v>0</v>
      </c>
      <c r="M46" s="72"/>
      <c r="N46" s="72"/>
    </row>
    <row r="47" spans="1:14" x14ac:dyDescent="0.3">
      <c r="A47" s="21">
        <v>43346</v>
      </c>
      <c r="B47" s="21" t="str">
        <f>TEXT(CLIENTE[[#This Row],[FECHA]],"MMMM")</f>
        <v>septiembre</v>
      </c>
      <c r="C47" s="21" t="str">
        <f>TEXT(CLIENTE[[#This Row],[FECHA]],"YYYY")</f>
        <v>2018</v>
      </c>
      <c r="D47" s="10">
        <v>96</v>
      </c>
      <c r="E47" s="10" t="s">
        <v>113</v>
      </c>
      <c r="F47" s="10" t="str">
        <f>VLOOKUP(CLIENTE[[#This Row],[CLIENTE]],Tabla5[],2,FALSE)</f>
        <v>901.092.692-9</v>
      </c>
      <c r="G47" s="12">
        <v>1200000</v>
      </c>
      <c r="H47" s="12">
        <f>+G47*3.5%</f>
        <v>42000.000000000007</v>
      </c>
      <c r="I47" s="12">
        <f t="shared" si="3"/>
        <v>1158000</v>
      </c>
      <c r="J47" s="10" t="s">
        <v>143</v>
      </c>
      <c r="K47" s="72">
        <v>1158000</v>
      </c>
      <c r="L47" s="72">
        <f>+CLIENTE[[#This Row],[VALOR]]-CLIENTE[[#This Row],[RTE FTE]]-CLIENTE[[#This Row],[Abono]]</f>
        <v>0</v>
      </c>
      <c r="M47" s="72"/>
      <c r="N47" s="72"/>
    </row>
    <row r="48" spans="1:14" x14ac:dyDescent="0.3">
      <c r="A48" s="22">
        <v>43355</v>
      </c>
      <c r="B48" s="22" t="str">
        <f>TEXT(CLIENTE[[#This Row],[FECHA]],"MMMM")</f>
        <v>septiembre</v>
      </c>
      <c r="C48" s="22" t="str">
        <f>TEXT(CLIENTE[[#This Row],[FECHA]],"YYYY")</f>
        <v>2018</v>
      </c>
      <c r="D48" s="11">
        <v>97</v>
      </c>
      <c r="E48" s="11" t="s">
        <v>93</v>
      </c>
      <c r="F48" s="10" t="str">
        <f>VLOOKUP(CLIENTE[[#This Row],[CLIENTE]],Tabla5[],2,FALSE)</f>
        <v>900.534.009-2</v>
      </c>
      <c r="G48" s="13">
        <v>480000</v>
      </c>
      <c r="H48" s="13">
        <v>0</v>
      </c>
      <c r="I48" s="13">
        <f t="shared" si="3"/>
        <v>480000</v>
      </c>
      <c r="J48" s="11" t="s">
        <v>121</v>
      </c>
      <c r="K48" s="72">
        <v>480000</v>
      </c>
      <c r="L48" s="72">
        <f>+CLIENTE[[#This Row],[VALOR]]-CLIENTE[[#This Row],[RTE FTE]]-CLIENTE[[#This Row],[Abono]]</f>
        <v>0</v>
      </c>
      <c r="M48" s="72"/>
      <c r="N48" s="72"/>
    </row>
    <row r="49" spans="1:14" x14ac:dyDescent="0.3">
      <c r="A49" s="21">
        <v>43361</v>
      </c>
      <c r="B49" s="21" t="str">
        <f>TEXT(CLIENTE[[#This Row],[FECHA]],"MMMM")</f>
        <v>septiembre</v>
      </c>
      <c r="C49" s="21" t="str">
        <f>TEXT(CLIENTE[[#This Row],[FECHA]],"YYYY")</f>
        <v>2018</v>
      </c>
      <c r="D49" s="10">
        <v>98</v>
      </c>
      <c r="E49" s="10" t="s">
        <v>144</v>
      </c>
      <c r="F49" s="10" t="str">
        <f>VLOOKUP(CLIENTE[[#This Row],[CLIENTE]],Tabla5[],2,FALSE)</f>
        <v>8.277.443-8</v>
      </c>
      <c r="G49" s="12">
        <v>2000000</v>
      </c>
      <c r="H49" s="12">
        <f>+G49*6%</f>
        <v>120000</v>
      </c>
      <c r="I49" s="12">
        <f t="shared" si="3"/>
        <v>1880000</v>
      </c>
      <c r="J49" s="10" t="s">
        <v>146</v>
      </c>
      <c r="K49" s="72">
        <v>1880000</v>
      </c>
      <c r="L49" s="72">
        <f>+CLIENTE[[#This Row],[VALOR]]-CLIENTE[[#This Row],[RTE FTE]]-CLIENTE[[#This Row],[Abono]]</f>
        <v>0</v>
      </c>
      <c r="M49" s="72"/>
      <c r="N49" s="72"/>
    </row>
    <row r="50" spans="1:14" x14ac:dyDescent="0.3">
      <c r="A50" s="22">
        <v>43370</v>
      </c>
      <c r="B50" s="22" t="str">
        <f>TEXT(CLIENTE[[#This Row],[FECHA]],"MMMM")</f>
        <v>septiembre</v>
      </c>
      <c r="C50" s="22" t="str">
        <f>TEXT(CLIENTE[[#This Row],[FECHA]],"YYYY")</f>
        <v>2018</v>
      </c>
      <c r="D50" s="11">
        <v>99</v>
      </c>
      <c r="E50" s="11" t="s">
        <v>127</v>
      </c>
      <c r="F50" s="10" t="str">
        <f>VLOOKUP(CLIENTE[[#This Row],[CLIENTE]],Tabla5[],2,FALSE)</f>
        <v>98.640.058-9</v>
      </c>
      <c r="G50" s="13">
        <v>400000</v>
      </c>
      <c r="H50" s="13">
        <v>0</v>
      </c>
      <c r="I50" s="13">
        <f t="shared" si="3"/>
        <v>400000</v>
      </c>
      <c r="J50" s="11" t="s">
        <v>147</v>
      </c>
      <c r="K50" s="72">
        <v>400000</v>
      </c>
      <c r="L50" s="72">
        <f>+CLIENTE[[#This Row],[VALOR]]-CLIENTE[[#This Row],[RTE FTE]]-CLIENTE[[#This Row],[Abono]]</f>
        <v>0</v>
      </c>
      <c r="M50" s="72"/>
      <c r="N50" s="72"/>
    </row>
    <row r="51" spans="1:14" x14ac:dyDescent="0.3">
      <c r="A51" s="21">
        <v>43375</v>
      </c>
      <c r="B51" s="21" t="str">
        <f>TEXT(CLIENTE[[#This Row],[FECHA]],"MMMM")</f>
        <v>octubre</v>
      </c>
      <c r="C51" s="21" t="str">
        <f>TEXT(CLIENTE[[#This Row],[FECHA]],"YYYY")</f>
        <v>2018</v>
      </c>
      <c r="D51" s="10">
        <v>100</v>
      </c>
      <c r="E51" s="10" t="s">
        <v>113</v>
      </c>
      <c r="F51" s="10" t="str">
        <f>VLOOKUP(CLIENTE[[#This Row],[CLIENTE]],Tabla5[],2,FALSE)</f>
        <v>901.092.692-9</v>
      </c>
      <c r="G51" s="12">
        <v>1200000</v>
      </c>
      <c r="H51" s="12">
        <f>+G51*3.5%</f>
        <v>42000.000000000007</v>
      </c>
      <c r="I51" s="12">
        <f t="shared" si="3"/>
        <v>1158000</v>
      </c>
      <c r="J51" s="10" t="s">
        <v>148</v>
      </c>
      <c r="K51" s="72">
        <v>1158000</v>
      </c>
      <c r="L51" s="72">
        <f>+CLIENTE[[#This Row],[VALOR]]-CLIENTE[[#This Row],[RTE FTE]]-CLIENTE[[#This Row],[Abono]]</f>
        <v>0</v>
      </c>
      <c r="M51" s="72"/>
      <c r="N51" s="72"/>
    </row>
    <row r="52" spans="1:14" x14ac:dyDescent="0.3">
      <c r="A52" s="22">
        <v>43375</v>
      </c>
      <c r="B52" s="22" t="str">
        <f>TEXT(CLIENTE[[#This Row],[FECHA]],"MMMM")</f>
        <v>octubre</v>
      </c>
      <c r="C52" s="22" t="str">
        <f>TEXT(CLIENTE[[#This Row],[FECHA]],"YYYY")</f>
        <v>2018</v>
      </c>
      <c r="D52" s="11">
        <v>101</v>
      </c>
      <c r="E52" s="11" t="s">
        <v>93</v>
      </c>
      <c r="F52" s="10" t="str">
        <f>VLOOKUP(CLIENTE[[#This Row],[CLIENTE]],Tabla5[],2,FALSE)</f>
        <v>900.534.009-2</v>
      </c>
      <c r="G52" s="13">
        <v>380000</v>
      </c>
      <c r="H52" s="13">
        <v>0</v>
      </c>
      <c r="I52" s="13">
        <f t="shared" si="3"/>
        <v>380000</v>
      </c>
      <c r="J52" s="11" t="s">
        <v>95</v>
      </c>
      <c r="K52" s="72">
        <v>380000</v>
      </c>
      <c r="L52" s="72">
        <f>+CLIENTE[[#This Row],[VALOR]]-CLIENTE[[#This Row],[RTE FTE]]-CLIENTE[[#This Row],[Abono]]</f>
        <v>0</v>
      </c>
      <c r="M52" s="72"/>
      <c r="N52" s="72"/>
    </row>
    <row r="53" spans="1:14" x14ac:dyDescent="0.3">
      <c r="A53" s="21">
        <v>43383</v>
      </c>
      <c r="B53" s="21" t="str">
        <f>TEXT(CLIENTE[[#This Row],[FECHA]],"MMMM")</f>
        <v>octubre</v>
      </c>
      <c r="C53" s="21" t="str">
        <f>TEXT(CLIENTE[[#This Row],[FECHA]],"YYYY")</f>
        <v>2018</v>
      </c>
      <c r="D53" s="10">
        <v>102</v>
      </c>
      <c r="E53" s="10" t="s">
        <v>93</v>
      </c>
      <c r="F53" s="10" t="str">
        <f>VLOOKUP(CLIENTE[[#This Row],[CLIENTE]],Tabla5[],2,FALSE)</f>
        <v>900.534.009-2</v>
      </c>
      <c r="G53" s="12">
        <v>330000</v>
      </c>
      <c r="H53" s="12">
        <v>0</v>
      </c>
      <c r="I53" s="12">
        <f t="shared" si="3"/>
        <v>330000</v>
      </c>
      <c r="J53" s="10" t="s">
        <v>112</v>
      </c>
      <c r="K53" s="72">
        <v>330000</v>
      </c>
      <c r="L53" s="72">
        <f>+CLIENTE[[#This Row],[VALOR]]-CLIENTE[[#This Row],[RTE FTE]]-CLIENTE[[#This Row],[Abono]]</f>
        <v>0</v>
      </c>
      <c r="M53" s="72"/>
      <c r="N53" s="72"/>
    </row>
    <row r="54" spans="1:14" x14ac:dyDescent="0.3">
      <c r="A54" s="22">
        <v>43385</v>
      </c>
      <c r="B54" s="22" t="str">
        <f>TEXT(CLIENTE[[#This Row],[FECHA]],"MMMM")</f>
        <v>octubre</v>
      </c>
      <c r="C54" s="22" t="str">
        <f>TEXT(CLIENTE[[#This Row],[FECHA]],"YYYY")</f>
        <v>2018</v>
      </c>
      <c r="D54" s="11">
        <v>103</v>
      </c>
      <c r="E54" s="11" t="s">
        <v>93</v>
      </c>
      <c r="F54" s="10" t="str">
        <f>VLOOKUP(CLIENTE[[#This Row],[CLIENTE]],Tabla5[],2,FALSE)</f>
        <v>900.534.009-2</v>
      </c>
      <c r="G54" s="13">
        <v>330000</v>
      </c>
      <c r="H54" s="13">
        <v>0</v>
      </c>
      <c r="I54" s="13">
        <f t="shared" si="3"/>
        <v>330000</v>
      </c>
      <c r="J54" s="11" t="s">
        <v>112</v>
      </c>
      <c r="K54" s="72">
        <v>330000</v>
      </c>
      <c r="L54" s="72">
        <f>+CLIENTE[[#This Row],[VALOR]]-CLIENTE[[#This Row],[RTE FTE]]-CLIENTE[[#This Row],[Abono]]</f>
        <v>0</v>
      </c>
      <c r="M54" s="72"/>
      <c r="N54" s="72"/>
    </row>
    <row r="55" spans="1:14" x14ac:dyDescent="0.3">
      <c r="A55" s="21">
        <v>43405</v>
      </c>
      <c r="B55" s="21" t="str">
        <f>TEXT(CLIENTE[[#This Row],[FECHA]],"MMMM")</f>
        <v>noviembre</v>
      </c>
      <c r="C55" s="21" t="str">
        <f>TEXT(CLIENTE[[#This Row],[FECHA]],"YYYY")</f>
        <v>2018</v>
      </c>
      <c r="D55" s="10">
        <v>104</v>
      </c>
      <c r="E55" s="10" t="s">
        <v>93</v>
      </c>
      <c r="F55" s="10" t="str">
        <f>VLOOKUP(CLIENTE[[#This Row],[CLIENTE]],Tabla5[],2,FALSE)</f>
        <v>900.534.009-2</v>
      </c>
      <c r="G55" s="12">
        <v>280000</v>
      </c>
      <c r="H55" s="12">
        <v>0</v>
      </c>
      <c r="I55" s="12">
        <f t="shared" si="3"/>
        <v>280000</v>
      </c>
      <c r="J55" s="10" t="s">
        <v>133</v>
      </c>
      <c r="K55" s="72">
        <v>280000</v>
      </c>
      <c r="L55" s="72">
        <f>+CLIENTE[[#This Row],[VALOR]]-CLIENTE[[#This Row],[RTE FTE]]-CLIENTE[[#This Row],[Abono]]</f>
        <v>0</v>
      </c>
      <c r="M55" s="72"/>
      <c r="N55" s="72"/>
    </row>
    <row r="56" spans="1:14" x14ac:dyDescent="0.3">
      <c r="A56" s="22">
        <v>43406</v>
      </c>
      <c r="B56" s="22" t="str">
        <f>TEXT(CLIENTE[[#This Row],[FECHA]],"MMMM")</f>
        <v>noviembre</v>
      </c>
      <c r="C56" s="22" t="str">
        <f>TEXT(CLIENTE[[#This Row],[FECHA]],"YYYY")</f>
        <v>2018</v>
      </c>
      <c r="D56" s="11">
        <v>105</v>
      </c>
      <c r="E56" s="11" t="s">
        <v>113</v>
      </c>
      <c r="F56" s="10" t="str">
        <f>VLOOKUP(CLIENTE[[#This Row],[CLIENTE]],Tabla5[],2,FALSE)</f>
        <v>901.092.692-9</v>
      </c>
      <c r="G56" s="13">
        <v>1200000</v>
      </c>
      <c r="H56" s="13">
        <v>42000</v>
      </c>
      <c r="I56" s="13">
        <f t="shared" si="3"/>
        <v>1158000</v>
      </c>
      <c r="J56" s="11" t="s">
        <v>149</v>
      </c>
      <c r="K56" s="72">
        <v>1158000</v>
      </c>
      <c r="L56" s="72">
        <f>+CLIENTE[[#This Row],[VALOR]]-CLIENTE[[#This Row],[RTE FTE]]-CLIENTE[[#This Row],[Abono]]</f>
        <v>0</v>
      </c>
      <c r="M56" s="72"/>
      <c r="N56" s="72"/>
    </row>
    <row r="57" spans="1:14" x14ac:dyDescent="0.3">
      <c r="A57" s="21">
        <v>43409</v>
      </c>
      <c r="B57" s="21" t="str">
        <f>TEXT(CLIENTE[[#This Row],[FECHA]],"MMMM")</f>
        <v>noviembre</v>
      </c>
      <c r="C57" s="21" t="str">
        <f>TEXT(CLIENTE[[#This Row],[FECHA]],"YYYY")</f>
        <v>2018</v>
      </c>
      <c r="D57" s="10">
        <v>106</v>
      </c>
      <c r="E57" s="10" t="s">
        <v>93</v>
      </c>
      <c r="F57" s="10" t="str">
        <f>VLOOKUP(CLIENTE[[#This Row],[CLIENTE]],Tabla5[],2,FALSE)</f>
        <v>900.534.009-2</v>
      </c>
      <c r="G57" s="12">
        <v>380000</v>
      </c>
      <c r="H57" s="12">
        <v>0</v>
      </c>
      <c r="I57" s="12">
        <f t="shared" si="3"/>
        <v>380000</v>
      </c>
      <c r="J57" s="10" t="s">
        <v>95</v>
      </c>
      <c r="K57" s="72">
        <v>380000</v>
      </c>
      <c r="L57" s="72">
        <f>+CLIENTE[[#This Row],[VALOR]]-CLIENTE[[#This Row],[RTE FTE]]-CLIENTE[[#This Row],[Abono]]</f>
        <v>0</v>
      </c>
      <c r="M57" s="72"/>
      <c r="N57" s="72"/>
    </row>
    <row r="58" spans="1:14" x14ac:dyDescent="0.3">
      <c r="A58" s="22">
        <v>43412</v>
      </c>
      <c r="B58" s="22" t="str">
        <f>TEXT(CLIENTE[[#This Row],[FECHA]],"MMMM")</f>
        <v>noviembre</v>
      </c>
      <c r="C58" s="22" t="str">
        <f>TEXT(CLIENTE[[#This Row],[FECHA]],"YYYY")</f>
        <v>2018</v>
      </c>
      <c r="D58" s="11">
        <v>107</v>
      </c>
      <c r="E58" s="11" t="s">
        <v>93</v>
      </c>
      <c r="F58" s="10" t="str">
        <f>VLOOKUP(CLIENTE[[#This Row],[CLIENTE]],Tabla5[],2,FALSE)</f>
        <v>900.534.009-2</v>
      </c>
      <c r="G58" s="13">
        <v>280000</v>
      </c>
      <c r="H58" s="13">
        <v>0</v>
      </c>
      <c r="I58" s="13">
        <f t="shared" si="3"/>
        <v>280000</v>
      </c>
      <c r="J58" s="11" t="s">
        <v>133</v>
      </c>
      <c r="K58" s="72">
        <v>280000</v>
      </c>
      <c r="L58" s="72">
        <f>+CLIENTE[[#This Row],[VALOR]]-CLIENTE[[#This Row],[RTE FTE]]-CLIENTE[[#This Row],[Abono]]</f>
        <v>0</v>
      </c>
      <c r="M58" s="72"/>
      <c r="N58" s="72"/>
    </row>
    <row r="59" spans="1:14" x14ac:dyDescent="0.3">
      <c r="A59" s="21">
        <v>43426</v>
      </c>
      <c r="B59" s="21" t="str">
        <f>TEXT(CLIENTE[[#This Row],[FECHA]],"MMMM")</f>
        <v>noviembre</v>
      </c>
      <c r="C59" s="21" t="str">
        <f>TEXT(CLIENTE[[#This Row],[FECHA]],"YYYY")</f>
        <v>2018</v>
      </c>
      <c r="D59" s="10">
        <v>108</v>
      </c>
      <c r="E59" s="10" t="s">
        <v>93</v>
      </c>
      <c r="F59" s="10" t="str">
        <f>VLOOKUP(CLIENTE[[#This Row],[CLIENTE]],Tabla5[],2,FALSE)</f>
        <v>900.534.009-2</v>
      </c>
      <c r="G59" s="12">
        <v>380000</v>
      </c>
      <c r="H59" s="12">
        <v>0</v>
      </c>
      <c r="I59" s="12">
        <f t="shared" si="3"/>
        <v>380000</v>
      </c>
      <c r="J59" s="10" t="s">
        <v>95</v>
      </c>
      <c r="K59" s="72">
        <v>380000</v>
      </c>
      <c r="L59" s="72">
        <f>+CLIENTE[[#This Row],[VALOR]]-CLIENTE[[#This Row],[RTE FTE]]-CLIENTE[[#This Row],[Abono]]</f>
        <v>0</v>
      </c>
      <c r="M59" s="72"/>
      <c r="N59" s="72"/>
    </row>
    <row r="60" spans="1:14" x14ac:dyDescent="0.3">
      <c r="A60" s="22">
        <v>43435</v>
      </c>
      <c r="B60" s="22" t="str">
        <f>TEXT(CLIENTE[[#This Row],[FECHA]],"MMMM")</f>
        <v>diciembre</v>
      </c>
      <c r="C60" s="22" t="str">
        <f>TEXT(CLIENTE[[#This Row],[FECHA]],"YYYY")</f>
        <v>2018</v>
      </c>
      <c r="D60" s="11">
        <v>109</v>
      </c>
      <c r="E60" s="11" t="s">
        <v>113</v>
      </c>
      <c r="F60" s="10" t="str">
        <f>VLOOKUP(CLIENTE[[#This Row],[CLIENTE]],Tabla5[],2,FALSE)</f>
        <v>901.092.692-9</v>
      </c>
      <c r="G60" s="13">
        <v>1200000</v>
      </c>
      <c r="H60" s="13">
        <v>42000</v>
      </c>
      <c r="I60" s="13">
        <f t="shared" si="3"/>
        <v>1158000</v>
      </c>
      <c r="J60" s="11" t="s">
        <v>150</v>
      </c>
      <c r="K60" s="72">
        <v>1158000</v>
      </c>
      <c r="L60" s="72">
        <f>+CLIENTE[[#This Row],[VALOR]]-CLIENTE[[#This Row],[RTE FTE]]-CLIENTE[[#This Row],[Abono]]</f>
        <v>0</v>
      </c>
      <c r="M60" s="72"/>
      <c r="N60" s="72"/>
    </row>
    <row r="61" spans="1:14" x14ac:dyDescent="0.3">
      <c r="A61" s="21">
        <v>43437</v>
      </c>
      <c r="B61" s="21" t="str">
        <f>TEXT(CLIENTE[[#This Row],[FECHA]],"MMMM")</f>
        <v>diciembre</v>
      </c>
      <c r="C61" s="21" t="str">
        <f>TEXT(CLIENTE[[#This Row],[FECHA]],"YYYY")</f>
        <v>2018</v>
      </c>
      <c r="D61" s="10">
        <v>110</v>
      </c>
      <c r="E61" s="10" t="s">
        <v>93</v>
      </c>
      <c r="F61" s="10" t="str">
        <f>VLOOKUP(CLIENTE[[#This Row],[CLIENTE]],Tabla5[],2,FALSE)</f>
        <v>900.534.009-2</v>
      </c>
      <c r="G61" s="12">
        <v>400000</v>
      </c>
      <c r="H61" s="12">
        <v>0</v>
      </c>
      <c r="I61" s="12">
        <f t="shared" si="3"/>
        <v>400000</v>
      </c>
      <c r="J61" s="10" t="s">
        <v>151</v>
      </c>
      <c r="K61" s="72">
        <v>400000</v>
      </c>
      <c r="L61" s="72">
        <f>+CLIENTE[[#This Row],[VALOR]]-CLIENTE[[#This Row],[RTE FTE]]-CLIENTE[[#This Row],[Abono]]</f>
        <v>0</v>
      </c>
      <c r="M61" s="72"/>
      <c r="N61" s="72"/>
    </row>
    <row r="62" spans="1:14" x14ac:dyDescent="0.3">
      <c r="A62" s="22">
        <v>43442</v>
      </c>
      <c r="B62" s="22" t="str">
        <f>TEXT(CLIENTE[[#This Row],[FECHA]],"MMMM")</f>
        <v>diciembre</v>
      </c>
      <c r="C62" s="22" t="str">
        <f>TEXT(CLIENTE[[#This Row],[FECHA]],"YYYY")</f>
        <v>2018</v>
      </c>
      <c r="D62" s="11">
        <v>111</v>
      </c>
      <c r="E62" s="11" t="s">
        <v>93</v>
      </c>
      <c r="F62" s="10" t="str">
        <f>VLOOKUP(CLIENTE[[#This Row],[CLIENTE]],Tabla5[],2,FALSE)</f>
        <v>900.534.009-2</v>
      </c>
      <c r="G62" s="13">
        <v>333000</v>
      </c>
      <c r="H62" s="13">
        <v>0</v>
      </c>
      <c r="I62" s="13">
        <f t="shared" si="3"/>
        <v>333000</v>
      </c>
      <c r="J62" s="11" t="s">
        <v>112</v>
      </c>
      <c r="K62" s="72">
        <v>333000</v>
      </c>
      <c r="L62" s="72">
        <f>+CLIENTE[[#This Row],[VALOR]]-CLIENTE[[#This Row],[RTE FTE]]-CLIENTE[[#This Row],[Abono]]</f>
        <v>0</v>
      </c>
      <c r="M62" s="72"/>
      <c r="N62" s="72"/>
    </row>
    <row r="63" spans="1:14" x14ac:dyDescent="0.3">
      <c r="A63" s="21">
        <v>43454</v>
      </c>
      <c r="B63" s="21" t="str">
        <f>TEXT(CLIENTE[[#This Row],[FECHA]],"MMMM")</f>
        <v>diciembre</v>
      </c>
      <c r="C63" s="21" t="str">
        <f>TEXT(CLIENTE[[#This Row],[FECHA]],"YYYY")</f>
        <v>2018</v>
      </c>
      <c r="D63" s="10">
        <v>112</v>
      </c>
      <c r="E63" s="10" t="s">
        <v>93</v>
      </c>
      <c r="F63" s="10" t="str">
        <f>VLOOKUP(CLIENTE[[#This Row],[CLIENTE]],Tabla5[],2,FALSE)</f>
        <v>900.534.009-2</v>
      </c>
      <c r="G63" s="12">
        <v>280000</v>
      </c>
      <c r="H63" s="12">
        <v>0</v>
      </c>
      <c r="I63" s="12">
        <f t="shared" si="3"/>
        <v>280000</v>
      </c>
      <c r="J63" s="10" t="s">
        <v>133</v>
      </c>
      <c r="K63" s="72">
        <v>280000</v>
      </c>
      <c r="L63" s="72">
        <f>+CLIENTE[[#This Row],[VALOR]]-CLIENTE[[#This Row],[RTE FTE]]-CLIENTE[[#This Row],[Abono]]</f>
        <v>0</v>
      </c>
      <c r="M63" s="72"/>
      <c r="N63" s="72"/>
    </row>
    <row r="64" spans="1:14" x14ac:dyDescent="0.3">
      <c r="A64" s="22">
        <v>43455</v>
      </c>
      <c r="B64" s="22" t="str">
        <f>TEXT(CLIENTE[[#This Row],[FECHA]],"MMMM")</f>
        <v>diciembre</v>
      </c>
      <c r="C64" s="22" t="str">
        <f>TEXT(CLIENTE[[#This Row],[FECHA]],"YYYY")</f>
        <v>2018</v>
      </c>
      <c r="D64" s="11">
        <v>113</v>
      </c>
      <c r="E64" s="11" t="s">
        <v>93</v>
      </c>
      <c r="F64" s="10" t="str">
        <f>VLOOKUP(CLIENTE[[#This Row],[CLIENTE]],Tabla5[],2,FALSE)</f>
        <v>900.534.009-2</v>
      </c>
      <c r="G64" s="13">
        <v>230000</v>
      </c>
      <c r="H64" s="13">
        <v>0</v>
      </c>
      <c r="I64" s="13">
        <f t="shared" si="3"/>
        <v>230000</v>
      </c>
      <c r="J64" s="11" t="s">
        <v>117</v>
      </c>
      <c r="K64" s="72">
        <v>230000</v>
      </c>
      <c r="L64" s="72">
        <f>+CLIENTE[[#This Row],[VALOR]]-CLIENTE[[#This Row],[RTE FTE]]-CLIENTE[[#This Row],[Abono]]</f>
        <v>0</v>
      </c>
      <c r="M64" s="72"/>
      <c r="N64" s="72"/>
    </row>
    <row r="65" spans="1:14" x14ac:dyDescent="0.3">
      <c r="A65" s="21">
        <v>43825</v>
      </c>
      <c r="B65" s="21" t="str">
        <f>TEXT(CLIENTE[[#This Row],[FECHA]],"MMMM")</f>
        <v>diciembre</v>
      </c>
      <c r="C65" s="21" t="str">
        <f>TEXT(CLIENTE[[#This Row],[FECHA]],"YYYY")</f>
        <v>2019</v>
      </c>
      <c r="D65" s="10">
        <v>114</v>
      </c>
      <c r="E65" s="10" t="s">
        <v>93</v>
      </c>
      <c r="F65" s="10" t="str">
        <f>VLOOKUP(CLIENTE[[#This Row],[CLIENTE]],Tabla5[],2,FALSE)</f>
        <v>900.534.009-2</v>
      </c>
      <c r="G65" s="12">
        <v>230000</v>
      </c>
      <c r="H65" s="12">
        <v>0</v>
      </c>
      <c r="I65" s="12">
        <f t="shared" si="3"/>
        <v>230000</v>
      </c>
      <c r="J65" s="10" t="s">
        <v>117</v>
      </c>
      <c r="K65" s="72">
        <v>230000</v>
      </c>
      <c r="L65" s="72">
        <f>+CLIENTE[[#This Row],[VALOR]]-CLIENTE[[#This Row],[RTE FTE]]-CLIENTE[[#This Row],[Abono]]</f>
        <v>0</v>
      </c>
      <c r="M65" s="72"/>
      <c r="N65" s="72"/>
    </row>
    <row r="66" spans="1:14" x14ac:dyDescent="0.3">
      <c r="A66" s="22">
        <v>43467</v>
      </c>
      <c r="B66" s="22" t="str">
        <f>TEXT(CLIENTE[[#This Row],[FECHA]],"MMMM")</f>
        <v>enero</v>
      </c>
      <c r="C66" s="22" t="str">
        <f>TEXT(CLIENTE[[#This Row],[FECHA]],"YYYY")</f>
        <v>2019</v>
      </c>
      <c r="D66" s="11">
        <v>115</v>
      </c>
      <c r="E66" s="11" t="s">
        <v>113</v>
      </c>
      <c r="F66" s="10" t="str">
        <f>VLOOKUP(CLIENTE[[#This Row],[CLIENTE]],Tabla5[],2,FALSE)</f>
        <v>901.092.692-9</v>
      </c>
      <c r="G66" s="13">
        <v>1200000</v>
      </c>
      <c r="H66" s="13">
        <f>+G66*3.5%</f>
        <v>42000.000000000007</v>
      </c>
      <c r="I66" s="13">
        <f>+G66-H66</f>
        <v>1158000</v>
      </c>
      <c r="J66" s="11" t="s">
        <v>152</v>
      </c>
      <c r="K66" s="72">
        <v>1158000</v>
      </c>
      <c r="L66" s="72">
        <f>+CLIENTE[[#This Row],[VALOR]]-CLIENTE[[#This Row],[RTE FTE]]-CLIENTE[[#This Row],[Abono]]</f>
        <v>0</v>
      </c>
      <c r="M66" s="72"/>
      <c r="N66" s="72"/>
    </row>
    <row r="67" spans="1:14" x14ac:dyDescent="0.3">
      <c r="A67" s="21">
        <v>43468</v>
      </c>
      <c r="B67" s="21" t="str">
        <f>TEXT(CLIENTE[[#This Row],[FECHA]],"MMMM")</f>
        <v>enero</v>
      </c>
      <c r="C67" s="21" t="str">
        <f>TEXT(CLIENTE[[#This Row],[FECHA]],"YYYY")</f>
        <v>2019</v>
      </c>
      <c r="D67" s="10">
        <v>116</v>
      </c>
      <c r="E67" s="10" t="s">
        <v>93</v>
      </c>
      <c r="F67" s="10" t="str">
        <f>VLOOKUP(CLIENTE[[#This Row],[CLIENTE]],Tabla5[],2,FALSE)</f>
        <v>900.534.009-2</v>
      </c>
      <c r="G67" s="12">
        <v>330000</v>
      </c>
      <c r="H67" s="12">
        <v>0</v>
      </c>
      <c r="I67" s="12">
        <f t="shared" ref="I67:I96" si="4">+G67-H67</f>
        <v>330000</v>
      </c>
      <c r="J67" s="10" t="s">
        <v>112</v>
      </c>
      <c r="K67" s="72">
        <v>330000</v>
      </c>
      <c r="L67" s="72">
        <f>+CLIENTE[[#This Row],[VALOR]]-CLIENTE[[#This Row],[RTE FTE]]-CLIENTE[[#This Row],[Abono]]</f>
        <v>0</v>
      </c>
      <c r="M67" s="72"/>
      <c r="N67" s="72"/>
    </row>
    <row r="68" spans="1:14" x14ac:dyDescent="0.3">
      <c r="A68" s="22">
        <v>43480</v>
      </c>
      <c r="B68" s="22" t="str">
        <f>TEXT(CLIENTE[[#This Row],[FECHA]],"MMMM")</f>
        <v>enero</v>
      </c>
      <c r="C68" s="22" t="str">
        <f>TEXT(CLIENTE[[#This Row],[FECHA]],"YYYY")</f>
        <v>2019</v>
      </c>
      <c r="D68" s="11">
        <v>117</v>
      </c>
      <c r="E68" s="11" t="s">
        <v>93</v>
      </c>
      <c r="F68" s="10" t="str">
        <f>VLOOKUP(CLIENTE[[#This Row],[CLIENTE]],Tabla5[],2,FALSE)</f>
        <v>900.534.009-2</v>
      </c>
      <c r="G68" s="13">
        <v>330000</v>
      </c>
      <c r="H68" s="13">
        <v>0</v>
      </c>
      <c r="I68" s="13">
        <f t="shared" si="4"/>
        <v>330000</v>
      </c>
      <c r="J68" s="11" t="s">
        <v>112</v>
      </c>
      <c r="K68" s="72">
        <v>330000</v>
      </c>
      <c r="L68" s="72">
        <f>+CLIENTE[[#This Row],[VALOR]]-CLIENTE[[#This Row],[RTE FTE]]-CLIENTE[[#This Row],[Abono]]</f>
        <v>0</v>
      </c>
      <c r="M68" s="72"/>
      <c r="N68" s="72"/>
    </row>
    <row r="69" spans="1:14" x14ac:dyDescent="0.3">
      <c r="A69" s="21">
        <v>43498</v>
      </c>
      <c r="B69" s="21" t="str">
        <f>TEXT(CLIENTE[[#This Row],[FECHA]],"MMMM")</f>
        <v>febrero</v>
      </c>
      <c r="C69" s="21" t="str">
        <f>TEXT(CLIENTE[[#This Row],[FECHA]],"YYYY")</f>
        <v>2019</v>
      </c>
      <c r="D69" s="10">
        <v>118</v>
      </c>
      <c r="E69" s="10" t="s">
        <v>113</v>
      </c>
      <c r="F69" s="10" t="str">
        <f>VLOOKUP(CLIENTE[[#This Row],[CLIENTE]],Tabla5[],2,FALSE)</f>
        <v>901.092.692-9</v>
      </c>
      <c r="G69" s="12">
        <v>1200000</v>
      </c>
      <c r="H69" s="12">
        <f t="shared" ref="H69:H71" si="5">+G69*3.5%</f>
        <v>42000.000000000007</v>
      </c>
      <c r="I69" s="12">
        <f t="shared" si="4"/>
        <v>1158000</v>
      </c>
      <c r="J69" s="10" t="s">
        <v>153</v>
      </c>
      <c r="K69" s="72">
        <v>1158000</v>
      </c>
      <c r="L69" s="72">
        <f>+CLIENTE[[#This Row],[VALOR]]-CLIENTE[[#This Row],[RTE FTE]]-CLIENTE[[#This Row],[Abono]]</f>
        <v>0</v>
      </c>
      <c r="M69" s="72"/>
      <c r="N69" s="72"/>
    </row>
    <row r="70" spans="1:14" x14ac:dyDescent="0.3">
      <c r="A70" s="22">
        <v>43500</v>
      </c>
      <c r="B70" s="22" t="str">
        <f>TEXT(CLIENTE[[#This Row],[FECHA]],"MMMM")</f>
        <v>febrero</v>
      </c>
      <c r="C70" s="22" t="str">
        <f>TEXT(CLIENTE[[#This Row],[FECHA]],"YYYY")</f>
        <v>2019</v>
      </c>
      <c r="D70" s="11">
        <v>119</v>
      </c>
      <c r="E70" s="11" t="s">
        <v>93</v>
      </c>
      <c r="F70" s="10" t="str">
        <f>VLOOKUP(CLIENTE[[#This Row],[CLIENTE]],Tabla5[],2,FALSE)</f>
        <v>900.534.009-2</v>
      </c>
      <c r="G70" s="13">
        <v>240000</v>
      </c>
      <c r="H70" s="13">
        <v>0</v>
      </c>
      <c r="I70" s="13">
        <f t="shared" si="4"/>
        <v>240000</v>
      </c>
      <c r="J70" s="11" t="s">
        <v>154</v>
      </c>
      <c r="K70" s="72">
        <v>240000</v>
      </c>
      <c r="L70" s="72">
        <f>+CLIENTE[[#This Row],[VALOR]]-CLIENTE[[#This Row],[RTE FTE]]-CLIENTE[[#This Row],[Abono]]</f>
        <v>0</v>
      </c>
      <c r="M70" s="72"/>
      <c r="N70" s="72"/>
    </row>
    <row r="71" spans="1:14" x14ac:dyDescent="0.3">
      <c r="A71" s="21">
        <v>43525</v>
      </c>
      <c r="B71" s="21" t="str">
        <f>TEXT(CLIENTE[[#This Row],[FECHA]],"MMMM")</f>
        <v>marzo</v>
      </c>
      <c r="C71" s="21" t="str">
        <f>TEXT(CLIENTE[[#This Row],[FECHA]],"YYYY")</f>
        <v>2019</v>
      </c>
      <c r="D71" s="10">
        <v>120</v>
      </c>
      <c r="E71" s="10" t="s">
        <v>113</v>
      </c>
      <c r="F71" s="10" t="str">
        <f>VLOOKUP(CLIENTE[[#This Row],[CLIENTE]],Tabla5[],2,FALSE)</f>
        <v>901.092.692-9</v>
      </c>
      <c r="G71" s="12">
        <v>1200000</v>
      </c>
      <c r="H71" s="12">
        <f t="shared" si="5"/>
        <v>42000.000000000007</v>
      </c>
      <c r="I71" s="12">
        <f t="shared" si="4"/>
        <v>1158000</v>
      </c>
      <c r="J71" s="10" t="s">
        <v>155</v>
      </c>
      <c r="K71" s="72">
        <v>1158000</v>
      </c>
      <c r="L71" s="72">
        <f>+CLIENTE[[#This Row],[VALOR]]-CLIENTE[[#This Row],[RTE FTE]]-CLIENTE[[#This Row],[Abono]]</f>
        <v>0</v>
      </c>
      <c r="M71" s="72"/>
      <c r="N71" s="72"/>
    </row>
    <row r="72" spans="1:14" x14ac:dyDescent="0.3">
      <c r="A72" s="22">
        <v>43540</v>
      </c>
      <c r="B72" s="22" t="str">
        <f>TEXT(CLIENTE[[#This Row],[FECHA]],"MMMM")</f>
        <v>marzo</v>
      </c>
      <c r="C72" s="22" t="str">
        <f>TEXT(CLIENTE[[#This Row],[FECHA]],"YYYY")</f>
        <v>2019</v>
      </c>
      <c r="D72" s="11">
        <v>121</v>
      </c>
      <c r="E72" s="11" t="s">
        <v>93</v>
      </c>
      <c r="F72" s="10" t="str">
        <f>VLOOKUP(CLIENTE[[#This Row],[CLIENTE]],Tabla5[],2,FALSE)</f>
        <v>900.534.009-2</v>
      </c>
      <c r="G72" s="13">
        <v>80000</v>
      </c>
      <c r="H72" s="13">
        <v>0</v>
      </c>
      <c r="I72" s="13">
        <f t="shared" si="4"/>
        <v>80000</v>
      </c>
      <c r="J72" s="11" t="s">
        <v>156</v>
      </c>
      <c r="K72" s="72">
        <v>80000</v>
      </c>
      <c r="L72" s="72">
        <f>+CLIENTE[[#This Row],[VALOR]]-CLIENTE[[#This Row],[RTE FTE]]-CLIENTE[[#This Row],[Abono]]</f>
        <v>0</v>
      </c>
      <c r="M72" s="72"/>
      <c r="N72" s="72"/>
    </row>
    <row r="73" spans="1:14" x14ac:dyDescent="0.3">
      <c r="A73" s="21">
        <v>43556</v>
      </c>
      <c r="B73" s="21" t="str">
        <f>TEXT(CLIENTE[[#This Row],[FECHA]],"MMMM")</f>
        <v>abril</v>
      </c>
      <c r="C73" s="21" t="str">
        <f>TEXT(CLIENTE[[#This Row],[FECHA]],"YYYY")</f>
        <v>2019</v>
      </c>
      <c r="D73" s="10">
        <v>122</v>
      </c>
      <c r="E73" s="10" t="s">
        <v>113</v>
      </c>
      <c r="F73" s="10" t="str">
        <f>VLOOKUP(CLIENTE[[#This Row],[CLIENTE]],Tabla5[],2,FALSE)</f>
        <v>901.092.692-9</v>
      </c>
      <c r="G73" s="12">
        <v>1200000</v>
      </c>
      <c r="H73" s="12">
        <f t="shared" ref="H73:H80" si="6">+G73*3.5%</f>
        <v>42000.000000000007</v>
      </c>
      <c r="I73" s="12">
        <f t="shared" si="4"/>
        <v>1158000</v>
      </c>
      <c r="J73" s="10" t="s">
        <v>157</v>
      </c>
      <c r="K73" s="72">
        <v>1158000</v>
      </c>
      <c r="L73" s="72">
        <f>+CLIENTE[[#This Row],[VALOR]]-CLIENTE[[#This Row],[RTE FTE]]-CLIENTE[[#This Row],[Abono]]</f>
        <v>0</v>
      </c>
      <c r="M73" s="72"/>
      <c r="N73" s="72"/>
    </row>
    <row r="74" spans="1:14" x14ac:dyDescent="0.3">
      <c r="A74" s="22">
        <v>43563</v>
      </c>
      <c r="B74" s="22" t="str">
        <f>TEXT(CLIENTE[[#This Row],[FECHA]],"MMMM")</f>
        <v>abril</v>
      </c>
      <c r="C74" s="22" t="str">
        <f>TEXT(CLIENTE[[#This Row],[FECHA]],"YYYY")</f>
        <v>2019</v>
      </c>
      <c r="D74" s="11">
        <v>123</v>
      </c>
      <c r="E74" s="11" t="s">
        <v>98</v>
      </c>
      <c r="F74" s="10" t="str">
        <f>VLOOKUP(CLIENTE[[#This Row],[CLIENTE]],Tabla5[],2,FALSE)</f>
        <v>890.939.592-0</v>
      </c>
      <c r="G74" s="13">
        <v>240000</v>
      </c>
      <c r="H74" s="13">
        <f t="shared" si="6"/>
        <v>8400</v>
      </c>
      <c r="I74" s="13">
        <f t="shared" si="4"/>
        <v>231600</v>
      </c>
      <c r="J74" s="11" t="s">
        <v>158</v>
      </c>
      <c r="K74" s="72">
        <v>231600</v>
      </c>
      <c r="L74" s="72">
        <f>+CLIENTE[[#This Row],[VALOR]]-CLIENTE[[#This Row],[RTE FTE]]-CLIENTE[[#This Row],[Abono]]</f>
        <v>0</v>
      </c>
      <c r="M74" s="72"/>
      <c r="N74" s="72"/>
    </row>
    <row r="75" spans="1:14" x14ac:dyDescent="0.3">
      <c r="A75" s="21">
        <v>43581</v>
      </c>
      <c r="B75" s="21" t="str">
        <f>TEXT(CLIENTE[[#This Row],[FECHA]],"MMMM")</f>
        <v>abril</v>
      </c>
      <c r="C75" s="21" t="str">
        <f>TEXT(CLIENTE[[#This Row],[FECHA]],"YYYY")</f>
        <v>2019</v>
      </c>
      <c r="D75" s="10">
        <v>124</v>
      </c>
      <c r="E75" s="10" t="s">
        <v>98</v>
      </c>
      <c r="F75" s="10" t="str">
        <f>VLOOKUP(CLIENTE[[#This Row],[CLIENTE]],Tabla5[],2,FALSE)</f>
        <v>890.939.592-0</v>
      </c>
      <c r="G75" s="12">
        <v>165000</v>
      </c>
      <c r="H75" s="12">
        <f t="shared" si="6"/>
        <v>5775.0000000000009</v>
      </c>
      <c r="I75" s="12">
        <f t="shared" si="4"/>
        <v>159225</v>
      </c>
      <c r="J75" s="10" t="s">
        <v>159</v>
      </c>
      <c r="K75" s="72">
        <v>159225</v>
      </c>
      <c r="L75" s="72">
        <f>+CLIENTE[[#This Row],[VALOR]]-CLIENTE[[#This Row],[RTE FTE]]-CLIENTE[[#This Row],[Abono]]</f>
        <v>0</v>
      </c>
      <c r="M75" s="72"/>
      <c r="N75" s="72"/>
    </row>
    <row r="76" spans="1:14" x14ac:dyDescent="0.3">
      <c r="A76" s="22">
        <v>43587</v>
      </c>
      <c r="B76" s="22" t="str">
        <f>TEXT(CLIENTE[[#This Row],[FECHA]],"MMMM")</f>
        <v>mayo</v>
      </c>
      <c r="C76" s="22" t="str">
        <f>TEXT(CLIENTE[[#This Row],[FECHA]],"YYYY")</f>
        <v>2019</v>
      </c>
      <c r="D76" s="11">
        <v>125</v>
      </c>
      <c r="E76" s="11" t="s">
        <v>113</v>
      </c>
      <c r="F76" s="10" t="str">
        <f>VLOOKUP(CLIENTE[[#This Row],[CLIENTE]],Tabla5[],2,FALSE)</f>
        <v>901.092.692-9</v>
      </c>
      <c r="G76" s="13">
        <v>1284000</v>
      </c>
      <c r="H76" s="13">
        <f t="shared" si="6"/>
        <v>44940.000000000007</v>
      </c>
      <c r="I76" s="13">
        <f t="shared" si="4"/>
        <v>1239060</v>
      </c>
      <c r="J76" s="11" t="s">
        <v>160</v>
      </c>
      <c r="K76" s="72">
        <v>1239060</v>
      </c>
      <c r="L76" s="72">
        <f>+CLIENTE[[#This Row],[VALOR]]-CLIENTE[[#This Row],[RTE FTE]]-CLIENTE[[#This Row],[Abono]]</f>
        <v>0</v>
      </c>
      <c r="M76" s="72"/>
      <c r="N76" s="72"/>
    </row>
    <row r="77" spans="1:14" x14ac:dyDescent="0.3">
      <c r="A77" s="21">
        <v>43617</v>
      </c>
      <c r="B77" s="21" t="str">
        <f>TEXT(CLIENTE[[#This Row],[FECHA]],"MMMM")</f>
        <v>junio</v>
      </c>
      <c r="C77" s="21" t="str">
        <f>TEXT(CLIENTE[[#This Row],[FECHA]],"YYYY")</f>
        <v>2019</v>
      </c>
      <c r="D77" s="10">
        <v>126</v>
      </c>
      <c r="E77" s="10" t="s">
        <v>113</v>
      </c>
      <c r="F77" s="10" t="str">
        <f>VLOOKUP(CLIENTE[[#This Row],[CLIENTE]],Tabla5[],2,FALSE)</f>
        <v>901.092.692-9</v>
      </c>
      <c r="G77" s="12">
        <v>1284000</v>
      </c>
      <c r="H77" s="12">
        <f t="shared" si="6"/>
        <v>44940.000000000007</v>
      </c>
      <c r="I77" s="12">
        <f t="shared" si="4"/>
        <v>1239060</v>
      </c>
      <c r="J77" s="10" t="s">
        <v>161</v>
      </c>
      <c r="K77" s="72">
        <v>1239060</v>
      </c>
      <c r="L77" s="72">
        <f>+CLIENTE[[#This Row],[VALOR]]-CLIENTE[[#This Row],[RTE FTE]]-CLIENTE[[#This Row],[Abono]]</f>
        <v>0</v>
      </c>
      <c r="M77" s="72"/>
      <c r="N77" s="72"/>
    </row>
    <row r="78" spans="1:14" x14ac:dyDescent="0.3">
      <c r="A78" s="22">
        <v>43648</v>
      </c>
      <c r="B78" s="22" t="str">
        <f>TEXT(CLIENTE[[#This Row],[FECHA]],"MMMM")</f>
        <v>julio</v>
      </c>
      <c r="C78" s="22" t="str">
        <f>TEXT(CLIENTE[[#This Row],[FECHA]],"YYYY")</f>
        <v>2019</v>
      </c>
      <c r="D78" s="11">
        <v>127</v>
      </c>
      <c r="E78" s="11" t="s">
        <v>113</v>
      </c>
      <c r="F78" s="10" t="str">
        <f>VLOOKUP(CLIENTE[[#This Row],[CLIENTE]],Tabla5[],2,FALSE)</f>
        <v>901.092.692-9</v>
      </c>
      <c r="G78" s="13">
        <v>1284000</v>
      </c>
      <c r="H78" s="13">
        <f t="shared" si="6"/>
        <v>44940.000000000007</v>
      </c>
      <c r="I78" s="13">
        <f t="shared" si="4"/>
        <v>1239060</v>
      </c>
      <c r="J78" s="11" t="s">
        <v>162</v>
      </c>
      <c r="K78" s="72">
        <v>1239060</v>
      </c>
      <c r="L78" s="72">
        <f>+CLIENTE[[#This Row],[VALOR]]-CLIENTE[[#This Row],[RTE FTE]]-CLIENTE[[#This Row],[Abono]]</f>
        <v>0</v>
      </c>
      <c r="M78" s="72"/>
      <c r="N78" s="72"/>
    </row>
    <row r="79" spans="1:14" x14ac:dyDescent="0.3">
      <c r="A79" s="21">
        <v>43671</v>
      </c>
      <c r="B79" s="21" t="str">
        <f>TEXT(CLIENTE[[#This Row],[FECHA]],"MMMM")</f>
        <v>julio</v>
      </c>
      <c r="C79" s="21" t="str">
        <f>TEXT(CLIENTE[[#This Row],[FECHA]],"YYYY")</f>
        <v>2019</v>
      </c>
      <c r="D79" s="10">
        <v>128</v>
      </c>
      <c r="E79" s="10" t="s">
        <v>163</v>
      </c>
      <c r="F79" s="10" t="str">
        <f>VLOOKUP(CLIENTE[[#This Row],[CLIENTE]],Tabla5[],2,FALSE)</f>
        <v>901.061.785-2</v>
      </c>
      <c r="G79" s="12">
        <v>30000</v>
      </c>
      <c r="H79" s="12">
        <v>0</v>
      </c>
      <c r="I79" s="12">
        <f t="shared" si="4"/>
        <v>30000</v>
      </c>
      <c r="J79" s="10" t="s">
        <v>165</v>
      </c>
      <c r="K79" s="74">
        <v>30000</v>
      </c>
      <c r="L79" s="72">
        <f>+CLIENTE[[#This Row],[VALOR]]-CLIENTE[[#This Row],[RTE FTE]]-CLIENTE[[#This Row],[Abono]]</f>
        <v>0</v>
      </c>
      <c r="M79" s="72"/>
      <c r="N79" s="72"/>
    </row>
    <row r="80" spans="1:14" x14ac:dyDescent="0.3">
      <c r="A80" s="22">
        <v>43678</v>
      </c>
      <c r="B80" s="22" t="str">
        <f>TEXT(CLIENTE[[#This Row],[FECHA]],"MMMM")</f>
        <v>agosto</v>
      </c>
      <c r="C80" s="22" t="str">
        <f>TEXT(CLIENTE[[#This Row],[FECHA]],"YYYY")</f>
        <v>2019</v>
      </c>
      <c r="D80" s="11">
        <v>130</v>
      </c>
      <c r="E80" s="11" t="s">
        <v>113</v>
      </c>
      <c r="F80" s="10" t="str">
        <f>VLOOKUP(CLIENTE[[#This Row],[CLIENTE]],Tabla5[],2,FALSE)</f>
        <v>901.092.692-9</v>
      </c>
      <c r="G80" s="13">
        <v>1284000</v>
      </c>
      <c r="H80" s="13">
        <f t="shared" si="6"/>
        <v>44940.000000000007</v>
      </c>
      <c r="I80" s="13">
        <f t="shared" si="4"/>
        <v>1239060</v>
      </c>
      <c r="J80" s="11" t="s">
        <v>166</v>
      </c>
      <c r="K80" s="72">
        <v>1239060</v>
      </c>
      <c r="L80" s="72">
        <f>+CLIENTE[[#This Row],[VALOR]]-CLIENTE[[#This Row],[RTE FTE]]-CLIENTE[[#This Row],[Abono]]</f>
        <v>0</v>
      </c>
      <c r="M80" s="72"/>
      <c r="N80" s="72"/>
    </row>
    <row r="81" spans="1:14" x14ac:dyDescent="0.3">
      <c r="A81" s="21">
        <v>43685</v>
      </c>
      <c r="B81" s="21" t="str">
        <f>TEXT(CLIENTE[[#This Row],[FECHA]],"MMMM")</f>
        <v>agosto</v>
      </c>
      <c r="C81" s="21" t="str">
        <f>TEXT(CLIENTE[[#This Row],[FECHA]],"YYYY")</f>
        <v>2019</v>
      </c>
      <c r="D81" s="10">
        <v>131</v>
      </c>
      <c r="E81" s="10" t="s">
        <v>167</v>
      </c>
      <c r="F81" s="10" t="str">
        <f>VLOOKUP(CLIENTE[[#This Row],[CLIENTE]],Tabla5[],2,FALSE)</f>
        <v>811.028.194-4</v>
      </c>
      <c r="G81" s="12">
        <v>820000</v>
      </c>
      <c r="H81" s="12">
        <v>0</v>
      </c>
      <c r="I81" s="12">
        <f t="shared" si="4"/>
        <v>820000</v>
      </c>
      <c r="J81" s="10" t="s">
        <v>168</v>
      </c>
      <c r="K81" s="72">
        <v>820000</v>
      </c>
      <c r="L81" s="72">
        <f>+CLIENTE[[#This Row],[VALOR]]-CLIENTE[[#This Row],[RTE FTE]]-CLIENTE[[#This Row],[Abono]]</f>
        <v>0</v>
      </c>
      <c r="M81" s="72"/>
      <c r="N81" s="72"/>
    </row>
    <row r="82" spans="1:14" x14ac:dyDescent="0.3">
      <c r="A82" s="22">
        <v>43709</v>
      </c>
      <c r="B82" s="22" t="str">
        <f>TEXT(CLIENTE[[#This Row],[FECHA]],"MMMM")</f>
        <v>septiembre</v>
      </c>
      <c r="C82" s="22" t="str">
        <f>TEXT(CLIENTE[[#This Row],[FECHA]],"YYYY")</f>
        <v>2019</v>
      </c>
      <c r="D82" s="11">
        <v>132</v>
      </c>
      <c r="E82" s="11" t="s">
        <v>113</v>
      </c>
      <c r="F82" s="10" t="str">
        <f>VLOOKUP(CLIENTE[[#This Row],[CLIENTE]],Tabla5[],2,FALSE)</f>
        <v>901.092.692-9</v>
      </c>
      <c r="G82" s="13">
        <v>1284000</v>
      </c>
      <c r="H82" s="13">
        <f>+G82*3.5%</f>
        <v>44940.000000000007</v>
      </c>
      <c r="I82" s="13">
        <f t="shared" si="4"/>
        <v>1239060</v>
      </c>
      <c r="J82" s="11" t="s">
        <v>169</v>
      </c>
      <c r="K82" s="72">
        <v>1239060</v>
      </c>
      <c r="L82" s="72">
        <f>+CLIENTE[[#This Row],[VALOR]]-CLIENTE[[#This Row],[RTE FTE]]-CLIENTE[[#This Row],[Abono]]</f>
        <v>0</v>
      </c>
      <c r="M82" s="72"/>
      <c r="N82" s="72"/>
    </row>
    <row r="83" spans="1:14" x14ac:dyDescent="0.3">
      <c r="A83" s="21">
        <v>43739</v>
      </c>
      <c r="B83" s="21" t="str">
        <f>TEXT(CLIENTE[[#This Row],[FECHA]],"MMMM")</f>
        <v>octubre</v>
      </c>
      <c r="C83" s="21" t="str">
        <f>TEXT(CLIENTE[[#This Row],[FECHA]],"YYYY")</f>
        <v>2019</v>
      </c>
      <c r="D83" s="10">
        <v>133</v>
      </c>
      <c r="E83" s="10" t="s">
        <v>113</v>
      </c>
      <c r="F83" s="10" t="str">
        <f>VLOOKUP(CLIENTE[[#This Row],[CLIENTE]],Tabla5[],2,FALSE)</f>
        <v>901.092.692-9</v>
      </c>
      <c r="G83" s="12">
        <v>1284000</v>
      </c>
      <c r="H83" s="12">
        <f t="shared" ref="H83" si="7">+G83*3.5%</f>
        <v>44940.000000000007</v>
      </c>
      <c r="I83" s="12">
        <f t="shared" si="4"/>
        <v>1239060</v>
      </c>
      <c r="J83" s="10" t="s">
        <v>170</v>
      </c>
      <c r="K83" s="72">
        <v>1239060</v>
      </c>
      <c r="L83" s="72">
        <f>+CLIENTE[[#This Row],[VALOR]]-CLIENTE[[#This Row],[RTE FTE]]-CLIENTE[[#This Row],[Abono]]</f>
        <v>0</v>
      </c>
      <c r="M83" s="72"/>
      <c r="N83" s="72"/>
    </row>
    <row r="84" spans="1:14" x14ac:dyDescent="0.3">
      <c r="A84" s="22">
        <v>43826</v>
      </c>
      <c r="B84" s="22" t="str">
        <f>TEXT(CLIENTE[[#This Row],[FECHA]],"MMMM")</f>
        <v>diciembre</v>
      </c>
      <c r="C84" s="22" t="str">
        <f>TEXT(CLIENTE[[#This Row],[FECHA]],"YYYY")</f>
        <v>2019</v>
      </c>
      <c r="D84" s="11">
        <v>134</v>
      </c>
      <c r="E84" s="11" t="s">
        <v>171</v>
      </c>
      <c r="F84" s="10" t="str">
        <f>VLOOKUP(CLIENTE[[#This Row],[CLIENTE]],Tabla5[],2,FALSE)</f>
        <v>900.729.224-8</v>
      </c>
      <c r="G84" s="13">
        <v>270000</v>
      </c>
      <c r="H84" s="13">
        <v>0</v>
      </c>
      <c r="I84" s="13">
        <f t="shared" si="4"/>
        <v>270000</v>
      </c>
      <c r="J84" s="11" t="s">
        <v>173</v>
      </c>
      <c r="K84" s="72">
        <v>270000</v>
      </c>
      <c r="L84" s="72">
        <f>+CLIENTE[[#This Row],[VALOR]]-CLIENTE[[#This Row],[RTE FTE]]-CLIENTE[[#This Row],[Abono]]</f>
        <v>0</v>
      </c>
      <c r="M84" s="72"/>
      <c r="N84" s="72"/>
    </row>
    <row r="85" spans="1:14" x14ac:dyDescent="0.3">
      <c r="A85" s="21">
        <v>43955</v>
      </c>
      <c r="B85" s="21" t="str">
        <f>TEXT(CLIENTE[[#This Row],[FECHA]],"MMMM")</f>
        <v>mayo</v>
      </c>
      <c r="C85" s="21" t="str">
        <f>TEXT(CLIENTE[[#This Row],[FECHA]],"YYYY")</f>
        <v>2020</v>
      </c>
      <c r="D85" s="10">
        <v>135</v>
      </c>
      <c r="E85" s="10" t="s">
        <v>174</v>
      </c>
      <c r="F85" s="10" t="str">
        <f>VLOOKUP(CLIENTE[[#This Row],[CLIENTE]],Tabla5[],2,FALSE)</f>
        <v>811.010.604-3</v>
      </c>
      <c r="G85" s="12">
        <v>396000</v>
      </c>
      <c r="H85" s="12">
        <v>15840</v>
      </c>
      <c r="I85" s="12">
        <f t="shared" si="4"/>
        <v>380160</v>
      </c>
      <c r="J85" s="10" t="s">
        <v>176</v>
      </c>
      <c r="K85" s="72">
        <v>380160</v>
      </c>
      <c r="L85" s="72">
        <f>+CLIENTE[[#This Row],[VALOR]]-CLIENTE[[#This Row],[RTE FTE]]-CLIENTE[[#This Row],[Abono]]</f>
        <v>0</v>
      </c>
      <c r="M85" s="72"/>
      <c r="N85" s="72"/>
    </row>
    <row r="86" spans="1:14" x14ac:dyDescent="0.3">
      <c r="A86" s="22">
        <v>43983</v>
      </c>
      <c r="B86" s="22" t="str">
        <f>TEXT(CLIENTE[[#This Row],[FECHA]],"MMMM")</f>
        <v>junio</v>
      </c>
      <c r="C86" s="22" t="str">
        <f>TEXT(CLIENTE[[#This Row],[FECHA]],"YYYY")</f>
        <v>2020</v>
      </c>
      <c r="D86" s="11">
        <v>136</v>
      </c>
      <c r="E86" s="11" t="s">
        <v>177</v>
      </c>
      <c r="F86" s="10" t="str">
        <f>VLOOKUP(CLIENTE[[#This Row],[CLIENTE]],Tabla5[],2,FALSE)</f>
        <v>900.790.148-4</v>
      </c>
      <c r="G86" s="13">
        <v>260000</v>
      </c>
      <c r="H86" s="13">
        <v>0</v>
      </c>
      <c r="I86" s="13">
        <f t="shared" si="4"/>
        <v>260000</v>
      </c>
      <c r="J86" s="11" t="s">
        <v>182</v>
      </c>
      <c r="K86" s="72">
        <v>260000</v>
      </c>
      <c r="L86" s="72">
        <f>+CLIENTE[[#This Row],[VALOR]]-CLIENTE[[#This Row],[RTE FTE]]-CLIENTE[[#This Row],[Abono]]</f>
        <v>0</v>
      </c>
      <c r="M86" s="72"/>
      <c r="N86" s="72"/>
    </row>
    <row r="87" spans="1:14" x14ac:dyDescent="0.3">
      <c r="A87" s="21">
        <v>43987</v>
      </c>
      <c r="B87" s="21" t="str">
        <f>TEXT(CLIENTE[[#This Row],[FECHA]],"MMMM")</f>
        <v>junio</v>
      </c>
      <c r="C87" s="21" t="str">
        <f>TEXT(CLIENTE[[#This Row],[FECHA]],"YYYY")</f>
        <v>2020</v>
      </c>
      <c r="D87" s="10">
        <v>137</v>
      </c>
      <c r="E87" s="10" t="s">
        <v>177</v>
      </c>
      <c r="F87" s="10" t="str">
        <f>VLOOKUP(CLIENTE[[#This Row],[CLIENTE]],Tabla5[],2,FALSE)</f>
        <v>900.790.148-4</v>
      </c>
      <c r="G87" s="12">
        <v>550000</v>
      </c>
      <c r="H87" s="12">
        <v>0</v>
      </c>
      <c r="I87" s="12">
        <f t="shared" si="4"/>
        <v>550000</v>
      </c>
      <c r="J87" s="10" t="s">
        <v>181</v>
      </c>
      <c r="K87" s="72">
        <v>550000</v>
      </c>
      <c r="L87" s="72">
        <f>+CLIENTE[[#This Row],[VALOR]]-CLIENTE[[#This Row],[RTE FTE]]-CLIENTE[[#This Row],[Abono]]</f>
        <v>0</v>
      </c>
      <c r="M87" s="72"/>
      <c r="N87" s="72"/>
    </row>
    <row r="88" spans="1:14" x14ac:dyDescent="0.3">
      <c r="A88" s="22">
        <v>44009</v>
      </c>
      <c r="B88" s="22" t="str">
        <f>TEXT(CLIENTE[[#This Row],[FECHA]],"MMMM")</f>
        <v>junio</v>
      </c>
      <c r="C88" s="22" t="str">
        <f>TEXT(CLIENTE[[#This Row],[FECHA]],"YYYY")</f>
        <v>2020</v>
      </c>
      <c r="D88" s="11">
        <v>138</v>
      </c>
      <c r="E88" s="11" t="s">
        <v>177</v>
      </c>
      <c r="F88" s="10" t="str">
        <f>VLOOKUP(CLIENTE[[#This Row],[CLIENTE]],Tabla5[],2,FALSE)</f>
        <v>900.790.148-4</v>
      </c>
      <c r="G88" s="13">
        <v>1440000</v>
      </c>
      <c r="H88" s="13">
        <v>0</v>
      </c>
      <c r="I88" s="13">
        <f t="shared" si="4"/>
        <v>1440000</v>
      </c>
      <c r="J88" s="11" t="s">
        <v>179</v>
      </c>
      <c r="K88" s="72">
        <v>1440000</v>
      </c>
      <c r="L88" s="72">
        <f>+CLIENTE[[#This Row],[VALOR]]-CLIENTE[[#This Row],[RTE FTE]]-CLIENTE[[#This Row],[Abono]]</f>
        <v>0</v>
      </c>
      <c r="M88" s="72"/>
      <c r="N88" s="72"/>
    </row>
    <row r="89" spans="1:14" x14ac:dyDescent="0.3">
      <c r="A89" s="21">
        <v>44015</v>
      </c>
      <c r="B89" s="21" t="str">
        <f>TEXT(CLIENTE[[#This Row],[FECHA]],"MMMM")</f>
        <v>julio</v>
      </c>
      <c r="C89" s="21" t="str">
        <f>TEXT(CLIENTE[[#This Row],[FECHA]],"YYYY")</f>
        <v>2020</v>
      </c>
      <c r="D89" s="10">
        <v>139</v>
      </c>
      <c r="E89" s="10" t="s">
        <v>177</v>
      </c>
      <c r="F89" s="10" t="str">
        <f>VLOOKUP(CLIENTE[[#This Row],[CLIENTE]],Tabla5[],2,FALSE)</f>
        <v>900.790.148-4</v>
      </c>
      <c r="G89" s="12">
        <v>300000</v>
      </c>
      <c r="H89" s="12">
        <v>0</v>
      </c>
      <c r="I89" s="12">
        <f t="shared" si="4"/>
        <v>300000</v>
      </c>
      <c r="J89" s="10" t="s">
        <v>180</v>
      </c>
      <c r="K89" s="72">
        <v>300000</v>
      </c>
      <c r="L89" s="72">
        <f>+CLIENTE[[#This Row],[VALOR]]-CLIENTE[[#This Row],[RTE FTE]]-CLIENTE[[#This Row],[Abono]]</f>
        <v>0</v>
      </c>
      <c r="M89" s="72"/>
      <c r="N89" s="72"/>
    </row>
    <row r="90" spans="1:14" x14ac:dyDescent="0.3">
      <c r="A90" s="22">
        <v>44020</v>
      </c>
      <c r="B90" s="22" t="str">
        <f>TEXT(CLIENTE[[#This Row],[FECHA]],"MMMM")</f>
        <v>julio</v>
      </c>
      <c r="C90" s="22" t="str">
        <f>TEXT(CLIENTE[[#This Row],[FECHA]],"YYYY")</f>
        <v>2020</v>
      </c>
      <c r="D90" s="11">
        <v>140</v>
      </c>
      <c r="E90" s="11" t="s">
        <v>177</v>
      </c>
      <c r="F90" s="10" t="str">
        <f>VLOOKUP(CLIENTE[[#This Row],[CLIENTE]],Tabla5[],2,FALSE)</f>
        <v>900.790.148-4</v>
      </c>
      <c r="G90" s="13">
        <v>80000</v>
      </c>
      <c r="H90" s="13">
        <v>0</v>
      </c>
      <c r="I90" s="13">
        <f t="shared" si="4"/>
        <v>80000</v>
      </c>
      <c r="J90" s="11" t="s">
        <v>183</v>
      </c>
      <c r="K90" s="72">
        <v>80000</v>
      </c>
      <c r="L90" s="72">
        <f>+CLIENTE[[#This Row],[VALOR]]-CLIENTE[[#This Row],[RTE FTE]]-CLIENTE[[#This Row],[Abono]]</f>
        <v>0</v>
      </c>
      <c r="M90" s="72"/>
      <c r="N90" s="72"/>
    </row>
    <row r="91" spans="1:14" x14ac:dyDescent="0.3">
      <c r="A91" s="21">
        <v>44047</v>
      </c>
      <c r="B91" s="21" t="str">
        <f>TEXT(CLIENTE[[#This Row],[FECHA]],"MMMM")</f>
        <v>agosto</v>
      </c>
      <c r="C91" s="21" t="str">
        <f>TEXT(CLIENTE[[#This Row],[FECHA]],"YYYY")</f>
        <v>2020</v>
      </c>
      <c r="D91" s="10">
        <v>141</v>
      </c>
      <c r="E91" s="11" t="s">
        <v>109</v>
      </c>
      <c r="F91" s="10" t="str">
        <f>VLOOKUP(CLIENTE[[#This Row],[CLIENTE]],Tabla5[],2,FALSE)</f>
        <v>900.678.158-1</v>
      </c>
      <c r="G91" s="12">
        <v>630000</v>
      </c>
      <c r="H91" s="12">
        <v>0</v>
      </c>
      <c r="I91" s="70">
        <f t="shared" si="4"/>
        <v>630000</v>
      </c>
      <c r="J91" s="10" t="s">
        <v>184</v>
      </c>
      <c r="K91" s="72">
        <v>630000</v>
      </c>
      <c r="L91" s="72">
        <f>+CLIENTE[[#This Row],[VALOR]]-CLIENTE[[#This Row],[RTE FTE]]-CLIENTE[[#This Row],[Abono]]</f>
        <v>0</v>
      </c>
      <c r="M91" s="72"/>
      <c r="N91" s="72"/>
    </row>
    <row r="92" spans="1:14" x14ac:dyDescent="0.3">
      <c r="A92" s="22">
        <v>44055</v>
      </c>
      <c r="B92" s="22" t="str">
        <f>TEXT(CLIENTE[[#This Row],[FECHA]],"MMMM")</f>
        <v>agosto</v>
      </c>
      <c r="C92" s="22" t="str">
        <f>TEXT(CLIENTE[[#This Row],[FECHA]],"YYYY")</f>
        <v>2020</v>
      </c>
      <c r="D92" s="11">
        <v>142</v>
      </c>
      <c r="E92" s="11" t="s">
        <v>177</v>
      </c>
      <c r="F92" s="10" t="str">
        <f>VLOOKUP(CLIENTE[[#This Row],[CLIENTE]],Tabla5[],2,FALSE)</f>
        <v>900.790.148-4</v>
      </c>
      <c r="G92" s="13">
        <v>260000</v>
      </c>
      <c r="H92" s="13">
        <v>0</v>
      </c>
      <c r="I92" s="13">
        <f t="shared" si="4"/>
        <v>260000</v>
      </c>
      <c r="J92" s="11" t="s">
        <v>182</v>
      </c>
      <c r="K92" s="72">
        <v>260000</v>
      </c>
      <c r="L92" s="72">
        <f>+CLIENTE[[#This Row],[VALOR]]-CLIENTE[[#This Row],[RTE FTE]]-CLIENTE[[#This Row],[Abono]]</f>
        <v>0</v>
      </c>
      <c r="M92" s="72"/>
      <c r="N92" s="72"/>
    </row>
    <row r="93" spans="1:14" x14ac:dyDescent="0.3">
      <c r="A93" s="21">
        <v>44067</v>
      </c>
      <c r="B93" s="21" t="str">
        <f>TEXT(CLIENTE[[#This Row],[FECHA]],"MMMM")</f>
        <v>agosto</v>
      </c>
      <c r="C93" s="21" t="str">
        <f>TEXT(CLIENTE[[#This Row],[FECHA]],"YYYY")</f>
        <v>2020</v>
      </c>
      <c r="D93" s="10">
        <v>143</v>
      </c>
      <c r="E93" s="10" t="s">
        <v>185</v>
      </c>
      <c r="F93" s="10" t="str">
        <f>VLOOKUP(CLIENTE[[#This Row],[CLIENTE]],Tabla5[],2,FALSE)</f>
        <v>900.531.259-3</v>
      </c>
      <c r="G93" s="12">
        <v>386000</v>
      </c>
      <c r="H93" s="12">
        <v>0</v>
      </c>
      <c r="I93" s="12">
        <f t="shared" si="4"/>
        <v>386000</v>
      </c>
      <c r="J93" s="10" t="s">
        <v>187</v>
      </c>
      <c r="K93" s="72">
        <v>386000</v>
      </c>
      <c r="L93" s="72">
        <f>+CLIENTE[[#This Row],[VALOR]]-CLIENTE[[#This Row],[RTE FTE]]-CLIENTE[[#This Row],[Abono]]</f>
        <v>0</v>
      </c>
      <c r="M93" s="72"/>
      <c r="N93" s="72"/>
    </row>
    <row r="94" spans="1:14" x14ac:dyDescent="0.3">
      <c r="A94" s="21">
        <v>44088</v>
      </c>
      <c r="B94" s="21" t="str">
        <f>TEXT(CLIENTE[[#This Row],[FECHA]],"MMMM")</f>
        <v>septiembre</v>
      </c>
      <c r="C94" s="21" t="str">
        <f>TEXT(CLIENTE[[#This Row],[FECHA]],"YYYY")</f>
        <v>2020</v>
      </c>
      <c r="D94" s="11">
        <v>144</v>
      </c>
      <c r="E94" s="11" t="s">
        <v>177</v>
      </c>
      <c r="F94" s="10" t="str">
        <f>VLOOKUP(CLIENTE[[#This Row],[CLIENTE]],Tabla5[],2,FALSE)</f>
        <v>900.790.148-4</v>
      </c>
      <c r="G94" s="13">
        <v>900000</v>
      </c>
      <c r="H94" s="13">
        <v>0</v>
      </c>
      <c r="I94" s="13">
        <f t="shared" si="4"/>
        <v>900000</v>
      </c>
      <c r="J94" s="11" t="s">
        <v>188</v>
      </c>
      <c r="K94" s="72">
        <v>900000</v>
      </c>
      <c r="L94" s="72">
        <f>+CLIENTE[[#This Row],[VALOR]]-CLIENTE[[#This Row],[RTE FTE]]-CLIENTE[[#This Row],[Abono]]</f>
        <v>0</v>
      </c>
      <c r="M94" s="72"/>
      <c r="N94" s="72"/>
    </row>
    <row r="95" spans="1:14" x14ac:dyDescent="0.3">
      <c r="A95" s="21">
        <v>44109</v>
      </c>
      <c r="B95" s="21" t="str">
        <f>TEXT(CLIENTE[[#This Row],[FECHA]],"MMMM")</f>
        <v>octubre</v>
      </c>
      <c r="C95" s="21" t="str">
        <f>TEXT(CLIENTE[[#This Row],[FECHA]],"YYYY")</f>
        <v>2020</v>
      </c>
      <c r="D95" s="10">
        <v>145</v>
      </c>
      <c r="E95" s="10" t="s">
        <v>189</v>
      </c>
      <c r="F95" s="10" t="str">
        <f>VLOOKUP(CLIENTE[[#This Row],[CLIENTE]],Tabla5[],2,FALSE)</f>
        <v>811.130.040-3</v>
      </c>
      <c r="G95" s="12">
        <v>520000</v>
      </c>
      <c r="H95" s="12">
        <v>0</v>
      </c>
      <c r="I95" s="12">
        <f t="shared" si="4"/>
        <v>520000</v>
      </c>
      <c r="J95" s="10" t="s">
        <v>191</v>
      </c>
      <c r="K95" s="72">
        <v>520000</v>
      </c>
      <c r="L95" s="72">
        <f>+CLIENTE[[#This Row],[VALOR]]-CLIENTE[[#This Row],[RTE FTE]]-CLIENTE[[#This Row],[Abono]]</f>
        <v>0</v>
      </c>
      <c r="M95" s="72"/>
      <c r="N95" s="72"/>
    </row>
    <row r="96" spans="1:14" x14ac:dyDescent="0.3">
      <c r="A96" s="22">
        <v>44127</v>
      </c>
      <c r="B96" s="22" t="str">
        <f>TEXT(CLIENTE[[#This Row],[FECHA]],"MMMM")</f>
        <v>octubre</v>
      </c>
      <c r="C96" s="22" t="str">
        <f>TEXT(CLIENTE[[#This Row],[FECHA]],"YYYY")</f>
        <v>2020</v>
      </c>
      <c r="D96" s="11">
        <v>146</v>
      </c>
      <c r="E96" s="11" t="s">
        <v>192</v>
      </c>
      <c r="F96" s="10">
        <f>VLOOKUP(CLIENTE[[#This Row],[CLIENTE]],Tabla5[],2,FALSE)</f>
        <v>0</v>
      </c>
      <c r="G96" s="13">
        <v>550000</v>
      </c>
      <c r="H96" s="13">
        <v>0</v>
      </c>
      <c r="I96" s="13">
        <f t="shared" si="4"/>
        <v>550000</v>
      </c>
      <c r="J96" s="11" t="s">
        <v>191</v>
      </c>
      <c r="K96" s="72">
        <v>550000</v>
      </c>
      <c r="L96" s="72">
        <f>+CLIENTE[[#This Row],[VALOR]]-CLIENTE[[#This Row],[RTE FTE]]-CLIENTE[[#This Row],[Abono]]</f>
        <v>0</v>
      </c>
      <c r="M96" s="72"/>
      <c r="N96" s="72"/>
    </row>
    <row r="97" spans="1:14" x14ac:dyDescent="0.3">
      <c r="A97" s="23">
        <v>44154</v>
      </c>
      <c r="B97" s="24" t="str">
        <f>TEXT(CLIENTE[[#This Row],[FECHA]],"MMMM")</f>
        <v>noviembre</v>
      </c>
      <c r="C97" s="24" t="str">
        <f>TEXT(CLIENTE[[#This Row],[FECHA]],"YYYY")</f>
        <v>2020</v>
      </c>
      <c r="D97" s="17">
        <v>147</v>
      </c>
      <c r="E97" s="18" t="s">
        <v>193</v>
      </c>
      <c r="F97" s="10" t="str">
        <f>VLOOKUP(CLIENTE[[#This Row],[CLIENTE]],Tabla5[],2,FALSE)</f>
        <v>890.938.162-0</v>
      </c>
      <c r="G97" s="19">
        <v>720000</v>
      </c>
      <c r="H97" s="19">
        <v>0</v>
      </c>
      <c r="I97" s="19">
        <f t="shared" ref="I97:I102" si="8">+G97-H97</f>
        <v>720000</v>
      </c>
      <c r="J97" s="18" t="s">
        <v>111</v>
      </c>
      <c r="K97" s="72">
        <v>720000</v>
      </c>
      <c r="L97" s="72">
        <f>+CLIENTE[[#This Row],[VALOR]]-CLIENTE[[#This Row],[RTE FTE]]-CLIENTE[[#This Row],[Abono]]</f>
        <v>0</v>
      </c>
      <c r="M97" s="72"/>
      <c r="N97" s="72"/>
    </row>
    <row r="98" spans="1:14" x14ac:dyDescent="0.3">
      <c r="A98" s="23">
        <v>44168</v>
      </c>
      <c r="B98" s="24" t="str">
        <f>TEXT(CLIENTE[[#This Row],[FECHA]],"MMMM")</f>
        <v>diciembre</v>
      </c>
      <c r="C98" s="24" t="str">
        <f>TEXT(CLIENTE[[#This Row],[FECHA]],"YYYY")</f>
        <v>2020</v>
      </c>
      <c r="D98" s="17">
        <v>148</v>
      </c>
      <c r="E98" s="18" t="s">
        <v>177</v>
      </c>
      <c r="F98" s="10" t="str">
        <f>VLOOKUP(CLIENTE[[#This Row],[CLIENTE]],Tabla5[],2,FALSE)</f>
        <v>900.790.148-4</v>
      </c>
      <c r="G98" s="19">
        <v>198000</v>
      </c>
      <c r="H98" s="19">
        <v>0</v>
      </c>
      <c r="I98" s="19">
        <f t="shared" si="8"/>
        <v>198000</v>
      </c>
      <c r="J98" s="18" t="s">
        <v>195</v>
      </c>
      <c r="K98" s="72">
        <v>198000</v>
      </c>
      <c r="L98" s="72">
        <f>+CLIENTE[[#This Row],[VALOR]]-CLIENTE[[#This Row],[RTE FTE]]-CLIENTE[[#This Row],[Abono]]</f>
        <v>0</v>
      </c>
      <c r="M98" s="72"/>
      <c r="N98" s="72"/>
    </row>
    <row r="99" spans="1:14" x14ac:dyDescent="0.3">
      <c r="A99" s="26">
        <v>44186</v>
      </c>
      <c r="B99" s="27" t="str">
        <f>TEXT(CLIENTE[[#This Row],[FECHA]],"MMMM")</f>
        <v>diciembre</v>
      </c>
      <c r="C99" s="27" t="str">
        <f>TEXT(CLIENTE[[#This Row],[FECHA]],"YYYY")</f>
        <v>2020</v>
      </c>
      <c r="D99" s="28">
        <v>149</v>
      </c>
      <c r="E99" s="29" t="s">
        <v>196</v>
      </c>
      <c r="F99" s="10" t="str">
        <f>VLOOKUP(CLIENTE[[#This Row],[CLIENTE]],Tabla5[],2,FALSE)</f>
        <v>800.200.948-7</v>
      </c>
      <c r="G99" s="30">
        <v>300000</v>
      </c>
      <c r="H99" s="30">
        <v>18000</v>
      </c>
      <c r="I99" s="71">
        <f t="shared" si="8"/>
        <v>282000</v>
      </c>
      <c r="J99" s="29" t="s">
        <v>198</v>
      </c>
      <c r="K99" s="72">
        <v>282000</v>
      </c>
      <c r="L99" s="72">
        <f>+CLIENTE[[#This Row],[VALOR]]-CLIENTE[[#This Row],[RTE FTE]]-CLIENTE[[#This Row],[Abono]]</f>
        <v>0</v>
      </c>
      <c r="M99" s="72"/>
      <c r="N99" s="72"/>
    </row>
    <row r="100" spans="1:14" x14ac:dyDescent="0.3">
      <c r="A100" s="57">
        <v>44228</v>
      </c>
      <c r="B100" s="58" t="str">
        <f>TEXT(CLIENTE[[#This Row],[FECHA]],"MMMM")</f>
        <v>febrero</v>
      </c>
      <c r="C100" s="58" t="str">
        <f>TEXT(CLIENTE[[#This Row],[FECHA]],"YYYY")</f>
        <v>2021</v>
      </c>
      <c r="D100" s="59">
        <v>150</v>
      </c>
      <c r="E100" s="60" t="s">
        <v>177</v>
      </c>
      <c r="F100" s="10" t="str">
        <f>VLOOKUP(CLIENTE[[#This Row],[CLIENTE]],Tabla5[],2,FALSE)</f>
        <v>900.790.148-4</v>
      </c>
      <c r="G100" s="61">
        <v>900000</v>
      </c>
      <c r="H100" s="61"/>
      <c r="I100" s="61">
        <f t="shared" si="8"/>
        <v>900000</v>
      </c>
      <c r="J100" s="60" t="s">
        <v>280</v>
      </c>
      <c r="K100" s="72">
        <v>900000</v>
      </c>
      <c r="L100" s="72">
        <f>+CLIENTE[[#This Row],[VALOR]]-CLIENTE[[#This Row],[RTE FTE]]-CLIENTE[[#This Row],[Abono]]</f>
        <v>0</v>
      </c>
      <c r="M100" s="72"/>
      <c r="N100" s="72"/>
    </row>
    <row r="101" spans="1:14" x14ac:dyDescent="0.3">
      <c r="A101" s="57">
        <v>44233</v>
      </c>
      <c r="B101" s="58" t="str">
        <f>TEXT(CLIENTE[[#This Row],[FECHA]],"MMMM")</f>
        <v>febrero</v>
      </c>
      <c r="C101" s="58" t="str">
        <f>TEXT(CLIENTE[[#This Row],[FECHA]],"YYYY")</f>
        <v>2021</v>
      </c>
      <c r="D101" s="59">
        <v>151</v>
      </c>
      <c r="E101" s="60" t="s">
        <v>196</v>
      </c>
      <c r="F101" s="10" t="str">
        <f>VLOOKUP(CLIENTE[[#This Row],[CLIENTE]],Tabla5[],2,FALSE)</f>
        <v>800.200.948-7</v>
      </c>
      <c r="G101" s="61">
        <v>60000</v>
      </c>
      <c r="H101" s="61"/>
      <c r="I101" s="61">
        <f t="shared" si="8"/>
        <v>60000</v>
      </c>
      <c r="J101" s="60" t="s">
        <v>281</v>
      </c>
      <c r="K101" s="72">
        <v>60000</v>
      </c>
      <c r="L101" s="72">
        <f>+CLIENTE[[#This Row],[VALOR]]-CLIENTE[[#This Row],[RTE FTE]]-CLIENTE[[#This Row],[Abono]]</f>
        <v>0</v>
      </c>
      <c r="M101" s="72"/>
      <c r="N101" s="72"/>
    </row>
    <row r="102" spans="1:14" x14ac:dyDescent="0.3">
      <c r="A102" s="57">
        <v>44264</v>
      </c>
      <c r="B102" s="58" t="str">
        <f>TEXT(CLIENTE[[#This Row],[FECHA]],"MMMM")</f>
        <v>marzo</v>
      </c>
      <c r="C102" s="58" t="str">
        <f>TEXT(CLIENTE[[#This Row],[FECHA]],"YYYY")</f>
        <v>2021</v>
      </c>
      <c r="D102" s="59">
        <v>152</v>
      </c>
      <c r="E102" s="60" t="s">
        <v>282</v>
      </c>
      <c r="F102" s="10" t="str">
        <f>VLOOKUP(CLIENTE[[#This Row],[CLIENTE]],Tabla5[],2,FALSE)</f>
        <v>900.828.771-1</v>
      </c>
      <c r="G102" s="61">
        <v>400000</v>
      </c>
      <c r="H102" s="61"/>
      <c r="I102" s="61">
        <f t="shared" si="8"/>
        <v>400000</v>
      </c>
      <c r="J102" s="60" t="s">
        <v>284</v>
      </c>
      <c r="K102" s="72">
        <v>400000</v>
      </c>
      <c r="L102" s="72">
        <f>+CLIENTE[[#This Row],[VALOR]]-CLIENTE[[#This Row],[RTE FTE]]-CLIENTE[[#This Row],[Abono]]</f>
        <v>0</v>
      </c>
      <c r="M102" s="72"/>
      <c r="N102" s="72"/>
    </row>
    <row r="103" spans="1:14" x14ac:dyDescent="0.3">
      <c r="A103" s="57">
        <v>44289</v>
      </c>
      <c r="B103" s="58" t="str">
        <f>TEXT(CLIENTE[[#This Row],[FECHA]],"MMMM")</f>
        <v>abril</v>
      </c>
      <c r="C103" s="58" t="str">
        <f>TEXT(CLIENTE[[#This Row],[FECHA]],"YYYY")</f>
        <v>2021</v>
      </c>
      <c r="D103" s="59">
        <v>153</v>
      </c>
      <c r="E103" s="60" t="s">
        <v>177</v>
      </c>
      <c r="F103" s="10" t="str">
        <f>VLOOKUP(CLIENTE[[#This Row],[CLIENTE]],Tabla5[],2,FALSE)</f>
        <v>900.790.148-4</v>
      </c>
      <c r="G103" s="61">
        <v>450000</v>
      </c>
      <c r="H103" s="61"/>
      <c r="I103" s="61">
        <f>+G103-H103</f>
        <v>450000</v>
      </c>
      <c r="J103" s="60" t="s">
        <v>289</v>
      </c>
      <c r="K103" s="72">
        <v>450000</v>
      </c>
      <c r="L103" s="72">
        <f>+CLIENTE[[#This Row],[VALOR]]-CLIENTE[[#This Row],[RTE FTE]]-CLIENTE[[#This Row],[Abono]]</f>
        <v>0</v>
      </c>
      <c r="M103" s="72"/>
      <c r="N103" s="72"/>
    </row>
    <row r="104" spans="1:14" x14ac:dyDescent="0.3">
      <c r="A104" s="57">
        <v>44289</v>
      </c>
      <c r="B104" s="58" t="str">
        <f>TEXT(CLIENTE[[#This Row],[FECHA]],"MMMM")</f>
        <v>abril</v>
      </c>
      <c r="C104" s="58" t="str">
        <f>TEXT(CLIENTE[[#This Row],[FECHA]],"YYYY")</f>
        <v>2021</v>
      </c>
      <c r="D104" s="59">
        <v>154</v>
      </c>
      <c r="E104" s="60" t="s">
        <v>290</v>
      </c>
      <c r="F104" s="10">
        <f>VLOOKUP(CLIENTE[[#This Row],[CLIENTE]],Tabla5[],2,FALSE)</f>
        <v>800254196</v>
      </c>
      <c r="G104" s="61">
        <v>940000</v>
      </c>
      <c r="H104" s="61"/>
      <c r="I104" s="61">
        <f>564000+376000</f>
        <v>940000</v>
      </c>
      <c r="J104" s="60" t="s">
        <v>292</v>
      </c>
      <c r="K104" s="72">
        <v>940000</v>
      </c>
      <c r="L104" s="72">
        <f>+CLIENTE[[#This Row],[VALOR]]-CLIENTE[[#This Row],[RTE FTE]]-CLIENTE[[#This Row],[Abono]]</f>
        <v>0</v>
      </c>
      <c r="M104" s="72"/>
      <c r="N104" s="72"/>
    </row>
    <row r="105" spans="1:14" x14ac:dyDescent="0.3">
      <c r="A105" s="57">
        <v>44312</v>
      </c>
      <c r="B105" s="58" t="str">
        <f>TEXT(CLIENTE[[#This Row],[FECHA]],"MMMM")</f>
        <v>abril</v>
      </c>
      <c r="C105" s="58" t="str">
        <f>TEXT(CLIENTE[[#This Row],[FECHA]],"YYYY")</f>
        <v>2021</v>
      </c>
      <c r="D105" s="59">
        <v>155</v>
      </c>
      <c r="E105" s="60" t="s">
        <v>177</v>
      </c>
      <c r="F105" s="10" t="str">
        <f>VLOOKUP(CLIENTE[[#This Row],[CLIENTE]],Tabla5[],2,FALSE)</f>
        <v>900.790.148-4</v>
      </c>
      <c r="G105" s="61">
        <v>450000</v>
      </c>
      <c r="H105" s="61"/>
      <c r="I105" s="61">
        <f t="shared" ref="I105:I112" si="9">+G105-H105</f>
        <v>450000</v>
      </c>
      <c r="J105" s="60" t="s">
        <v>293</v>
      </c>
      <c r="K105" s="72">
        <v>450000</v>
      </c>
      <c r="L105" s="72">
        <f>+CLIENTE[[#This Row],[VALOR]]-CLIENTE[[#This Row],[RTE FTE]]-CLIENTE[[#This Row],[Abono]]</f>
        <v>0</v>
      </c>
      <c r="M105" s="72"/>
      <c r="N105" s="72"/>
    </row>
    <row r="106" spans="1:14" x14ac:dyDescent="0.3">
      <c r="A106" s="57">
        <v>44313</v>
      </c>
      <c r="B106" s="58" t="str">
        <f>TEXT(CLIENTE[[#This Row],[FECHA]],"MMMM")</f>
        <v>abril</v>
      </c>
      <c r="C106" s="58" t="str">
        <f>TEXT(CLIENTE[[#This Row],[FECHA]],"YYYY")</f>
        <v>2021</v>
      </c>
      <c r="D106" s="59">
        <v>156</v>
      </c>
      <c r="E106" s="60" t="s">
        <v>291</v>
      </c>
      <c r="F106" s="10" t="str">
        <f>VLOOKUP(CLIENTE[[#This Row],[CLIENTE]],Tabla5[],2,FALSE)</f>
        <v>900.531.699-0</v>
      </c>
      <c r="G106" s="61">
        <v>11000000</v>
      </c>
      <c r="H106" s="61">
        <f>+CLIENTE[[#This Row],[VALOR]]*3.5%</f>
        <v>385000.00000000006</v>
      </c>
      <c r="I106" s="61">
        <f t="shared" si="9"/>
        <v>10615000</v>
      </c>
      <c r="J106" s="60" t="s">
        <v>294</v>
      </c>
      <c r="K106" s="72">
        <f>5000000+1000000</f>
        <v>6000000</v>
      </c>
      <c r="L106" s="72">
        <f>+CLIENTE[[#This Row],[VALOR]]-CLIENTE[[#This Row],[RTE FTE]]-CLIENTE[[#This Row],[Abono]]</f>
        <v>4615000</v>
      </c>
      <c r="M106" s="72"/>
      <c r="N106" s="76" t="s">
        <v>341</v>
      </c>
    </row>
    <row r="107" spans="1:14" x14ac:dyDescent="0.3">
      <c r="A107" s="65">
        <v>44358</v>
      </c>
      <c r="B107" s="66" t="str">
        <f>TEXT(CLIENTE[[#This Row],[FECHA]],"MMMM")</f>
        <v>junio</v>
      </c>
      <c r="C107" s="66" t="str">
        <f>TEXT(CLIENTE[[#This Row],[FECHA]],"YYYY")</f>
        <v>2021</v>
      </c>
      <c r="D107" s="59">
        <v>157</v>
      </c>
      <c r="E107" s="29" t="s">
        <v>185</v>
      </c>
      <c r="F107" s="10" t="str">
        <f>VLOOKUP(CLIENTE[[#This Row],[CLIENTE]],Tabla5[],2,FALSE)</f>
        <v>900.531.259-3</v>
      </c>
      <c r="G107" s="61">
        <v>285000</v>
      </c>
      <c r="H107" s="61"/>
      <c r="I107" s="61">
        <f t="shared" si="9"/>
        <v>285000</v>
      </c>
      <c r="J107" s="29" t="s">
        <v>296</v>
      </c>
      <c r="K107" s="72">
        <v>285000</v>
      </c>
      <c r="L107" s="72">
        <f>+CLIENTE[[#This Row],[VALOR]]-CLIENTE[[#This Row],[RTE FTE]]-CLIENTE[[#This Row],[Abono]]</f>
        <v>0</v>
      </c>
      <c r="M107" s="72"/>
      <c r="N107" s="72"/>
    </row>
    <row r="108" spans="1:14" x14ac:dyDescent="0.3">
      <c r="A108" s="65">
        <v>44378</v>
      </c>
      <c r="B108" s="66" t="str">
        <f>TEXT(CLIENTE[[#This Row],[FECHA]],"MMMM")</f>
        <v>julio</v>
      </c>
      <c r="C108" s="66" t="str">
        <f>TEXT(CLIENTE[[#This Row],[FECHA]],"YYYY")</f>
        <v>2021</v>
      </c>
      <c r="D108" s="59">
        <v>158</v>
      </c>
      <c r="E108" s="29" t="s">
        <v>297</v>
      </c>
      <c r="F108" s="10" t="str">
        <f>VLOOKUP(CLIENTE[[#This Row],[CLIENTE]],Tabla5[],2,FALSE)</f>
        <v>900.488.501-8</v>
      </c>
      <c r="G108" s="61">
        <v>600000</v>
      </c>
      <c r="H108" s="61"/>
      <c r="I108" s="61">
        <f t="shared" si="9"/>
        <v>600000</v>
      </c>
      <c r="J108" s="29" t="s">
        <v>299</v>
      </c>
      <c r="K108" s="72">
        <v>600000</v>
      </c>
      <c r="L108" s="72">
        <f>+CLIENTE[[#This Row],[VALOR]]-CLIENTE[[#This Row],[RTE FTE]]-CLIENTE[[#This Row],[Abono]]</f>
        <v>0</v>
      </c>
      <c r="M108" s="72"/>
      <c r="N108" s="72"/>
    </row>
    <row r="109" spans="1:14" x14ac:dyDescent="0.3">
      <c r="A109" s="65">
        <v>44378</v>
      </c>
      <c r="B109" s="66" t="str">
        <f>TEXT(CLIENTE[[#This Row],[FECHA]],"MMMM")</f>
        <v>julio</v>
      </c>
      <c r="C109" s="66" t="str">
        <f>TEXT(CLIENTE[[#This Row],[FECHA]],"YYYY")</f>
        <v>2021</v>
      </c>
      <c r="D109" s="59">
        <v>159</v>
      </c>
      <c r="E109" s="29" t="s">
        <v>300</v>
      </c>
      <c r="F109" s="10" t="str">
        <f>VLOOKUP(CLIENTE[[#This Row],[CLIENTE]],Tabla5[],2,FALSE)</f>
        <v>890.937.289-2</v>
      </c>
      <c r="G109" s="61">
        <v>500000</v>
      </c>
      <c r="H109" s="61"/>
      <c r="I109" s="61">
        <f t="shared" si="9"/>
        <v>500000</v>
      </c>
      <c r="J109" s="29" t="s">
        <v>299</v>
      </c>
      <c r="K109" s="72">
        <v>500000</v>
      </c>
      <c r="L109" s="72">
        <f>+CLIENTE[[#This Row],[VALOR]]-CLIENTE[[#This Row],[RTE FTE]]-CLIENTE[[#This Row],[Abono]]</f>
        <v>0</v>
      </c>
      <c r="M109" s="72"/>
      <c r="N109" s="72"/>
    </row>
    <row r="110" spans="1:14" x14ac:dyDescent="0.3">
      <c r="A110" s="65">
        <v>44385</v>
      </c>
      <c r="B110" s="66" t="str">
        <f>TEXT(CLIENTE[[#This Row],[FECHA]],"MMMM")</f>
        <v>julio</v>
      </c>
      <c r="C110" s="66" t="str">
        <f>TEXT(CLIENTE[[#This Row],[FECHA]],"YYYY")</f>
        <v>2021</v>
      </c>
      <c r="D110" s="59">
        <v>160</v>
      </c>
      <c r="E110" s="29" t="s">
        <v>282</v>
      </c>
      <c r="F110" s="10" t="str">
        <f>VLOOKUP(CLIENTE[[#This Row],[CLIENTE]],Tabla5[],2,FALSE)</f>
        <v>900.828.771-1</v>
      </c>
      <c r="G110" s="61">
        <v>530000</v>
      </c>
      <c r="H110" s="61">
        <f>+CLIENTE[[#This Row],[VALOR]]*3.5%</f>
        <v>18550</v>
      </c>
      <c r="I110" s="61">
        <f t="shared" si="9"/>
        <v>511450</v>
      </c>
      <c r="J110" s="29" t="s">
        <v>305</v>
      </c>
      <c r="K110" s="72">
        <v>511450</v>
      </c>
      <c r="L110" s="72">
        <f>+CLIENTE[[#This Row],[VALOR]]-CLIENTE[[#This Row],[RTE FTE]]-CLIENTE[[#This Row],[Abono]]</f>
        <v>0</v>
      </c>
      <c r="M110" s="72"/>
      <c r="N110" s="72"/>
    </row>
    <row r="111" spans="1:14" x14ac:dyDescent="0.3">
      <c r="A111" s="65">
        <v>44385</v>
      </c>
      <c r="B111" s="66" t="str">
        <f>TEXT(CLIENTE[[#This Row],[FECHA]],"MMMM")</f>
        <v>julio</v>
      </c>
      <c r="C111" s="66" t="str">
        <f>TEXT(CLIENTE[[#This Row],[FECHA]],"YYYY")</f>
        <v>2021</v>
      </c>
      <c r="D111" s="59">
        <v>161</v>
      </c>
      <c r="E111" s="29" t="s">
        <v>302</v>
      </c>
      <c r="F111" s="10" t="str">
        <f>VLOOKUP(CLIENTE[[#This Row],[CLIENTE]],Tabla5[],2,FALSE)</f>
        <v>900.872.144-8</v>
      </c>
      <c r="G111" s="61">
        <v>230000</v>
      </c>
      <c r="H111" s="61"/>
      <c r="I111" s="61">
        <f t="shared" si="9"/>
        <v>230000</v>
      </c>
      <c r="J111" s="29" t="s">
        <v>304</v>
      </c>
      <c r="K111" s="72">
        <v>230000</v>
      </c>
      <c r="L111" s="72">
        <f>+CLIENTE[[#This Row],[VALOR]]-CLIENTE[[#This Row],[RTE FTE]]-CLIENTE[[#This Row],[Abono]]</f>
        <v>0</v>
      </c>
      <c r="M111" s="72"/>
      <c r="N111" s="72"/>
    </row>
    <row r="112" spans="1:14" x14ac:dyDescent="0.3">
      <c r="A112" s="65">
        <v>44385</v>
      </c>
      <c r="B112" s="66" t="str">
        <f>TEXT(CLIENTE[[#This Row],[FECHA]],"MMMM")</f>
        <v>julio</v>
      </c>
      <c r="C112" s="66" t="str">
        <f>TEXT(CLIENTE[[#This Row],[FECHA]],"YYYY")</f>
        <v>2021</v>
      </c>
      <c r="D112" s="59">
        <v>162</v>
      </c>
      <c r="E112" s="29" t="s">
        <v>282</v>
      </c>
      <c r="F112" s="10" t="str">
        <f>VLOOKUP(CLIENTE[[#This Row],[CLIENTE]],Tabla5[],2,FALSE)</f>
        <v>900.828.771-1</v>
      </c>
      <c r="G112" s="61">
        <v>530000</v>
      </c>
      <c r="H112" s="61">
        <f>+CLIENTE[[#This Row],[VALOR]]*3.5%</f>
        <v>18550</v>
      </c>
      <c r="I112" s="61">
        <f t="shared" si="9"/>
        <v>511450</v>
      </c>
      <c r="J112" s="29" t="s">
        <v>306</v>
      </c>
      <c r="K112" s="72">
        <v>511450</v>
      </c>
      <c r="L112" s="72">
        <f>+CLIENTE[[#This Row],[VALOR]]-CLIENTE[[#This Row],[RTE FTE]]-CLIENTE[[#This Row],[Abono]]</f>
        <v>0</v>
      </c>
      <c r="M112" s="72"/>
      <c r="N112" s="72"/>
    </row>
    <row r="113" spans="1:14" x14ac:dyDescent="0.3">
      <c r="A113" s="65">
        <v>44428</v>
      </c>
      <c r="B113" s="66" t="str">
        <f>TEXT(CLIENTE[[#This Row],[FECHA]],"MMMM")</f>
        <v>agosto</v>
      </c>
      <c r="C113" s="58" t="str">
        <f>TEXT(CLIENTE[[#This Row],[FECHA]],"YYYY")</f>
        <v>2021</v>
      </c>
      <c r="D113" s="59">
        <v>163</v>
      </c>
      <c r="E113" s="29" t="s">
        <v>309</v>
      </c>
      <c r="F113" s="10" t="str">
        <f>VLOOKUP(CLIENTE[[#This Row],[CLIENTE]],Tabla5[],2,FALSE)</f>
        <v>900.518.640-3</v>
      </c>
      <c r="G113" s="61">
        <v>2250000</v>
      </c>
      <c r="H113" s="61">
        <f>+CLIENTE[[#This Row],[VALOR]]*6%</f>
        <v>135000</v>
      </c>
      <c r="I113" s="61">
        <f t="shared" ref="I113:I119" si="10">+G113-H113</f>
        <v>2115000</v>
      </c>
      <c r="J113" s="29" t="s">
        <v>311</v>
      </c>
      <c r="K113" s="72">
        <v>2115000</v>
      </c>
      <c r="L113" s="72">
        <f>+CLIENTE[[#This Row],[VALOR]]-CLIENTE[[#This Row],[RTE FTE]]-CLIENTE[[#This Row],[Abono]]</f>
        <v>0</v>
      </c>
      <c r="M113" s="72"/>
      <c r="N113" s="72"/>
    </row>
    <row r="114" spans="1:14" x14ac:dyDescent="0.3">
      <c r="A114" s="65">
        <v>44441</v>
      </c>
      <c r="B114" s="66" t="str">
        <f>TEXT(CLIENTE[[#This Row],[FECHA]],"MMMM")</f>
        <v>septiembre</v>
      </c>
      <c r="C114" s="58" t="str">
        <f>TEXT(CLIENTE[[#This Row],[FECHA]],"YYYY")</f>
        <v>2021</v>
      </c>
      <c r="D114" s="59">
        <v>164</v>
      </c>
      <c r="E114" s="29" t="s">
        <v>93</v>
      </c>
      <c r="F114" s="10" t="str">
        <f>VLOOKUP(CLIENTE[[#This Row],[CLIENTE]],Tabla5[],2,FALSE)</f>
        <v>900.534.009-2</v>
      </c>
      <c r="G114" s="61">
        <f>70000*14</f>
        <v>980000</v>
      </c>
      <c r="H114" s="61">
        <f>+CLIENTE[[#This Row],[VALOR]]*6%</f>
        <v>58800</v>
      </c>
      <c r="I114" s="61">
        <f t="shared" si="10"/>
        <v>921200</v>
      </c>
      <c r="J114" s="29" t="s">
        <v>312</v>
      </c>
      <c r="K114" s="72">
        <v>921200</v>
      </c>
      <c r="L114" s="72">
        <f>+CLIENTE[[#This Row],[VALOR]]-CLIENTE[[#This Row],[RTE FTE]]-CLIENTE[[#This Row],[Abono]]</f>
        <v>0</v>
      </c>
      <c r="M114" s="72"/>
      <c r="N114" s="72"/>
    </row>
    <row r="115" spans="1:14" x14ac:dyDescent="0.3">
      <c r="A115" s="65">
        <v>44443</v>
      </c>
      <c r="B115" s="66" t="str">
        <f>TEXT(CLIENTE[[#This Row],[FECHA]],"MMMM")</f>
        <v>septiembre</v>
      </c>
      <c r="C115" s="58" t="str">
        <f>TEXT(CLIENTE[[#This Row],[FECHA]],"YYYY")</f>
        <v>2021</v>
      </c>
      <c r="D115" s="59">
        <v>165</v>
      </c>
      <c r="E115" s="29" t="s">
        <v>313</v>
      </c>
      <c r="F115" s="10" t="str">
        <f>VLOOKUP(CLIENTE[[#This Row],[CLIENTE]],Tabla5[],2,FALSE)</f>
        <v>811.046.856-8</v>
      </c>
      <c r="G115" s="61">
        <v>980000</v>
      </c>
      <c r="H115" s="61"/>
      <c r="I115" s="61">
        <f t="shared" si="10"/>
        <v>980000</v>
      </c>
      <c r="J115" s="29" t="s">
        <v>314</v>
      </c>
      <c r="K115" s="72">
        <v>980000</v>
      </c>
      <c r="L115" s="72">
        <f>+CLIENTE[[#This Row],[VALOR]]-CLIENTE[[#This Row],[RTE FTE]]-CLIENTE[[#This Row],[Abono]]</f>
        <v>0</v>
      </c>
      <c r="M115" s="72"/>
      <c r="N115" s="72"/>
    </row>
    <row r="116" spans="1:14" x14ac:dyDescent="0.3">
      <c r="A116" s="65">
        <v>44440</v>
      </c>
      <c r="B116" s="66" t="str">
        <f>TEXT(CLIENTE[[#This Row],[FECHA]],"MMMM")</f>
        <v>septiembre</v>
      </c>
      <c r="C116" s="58" t="str">
        <f>TEXT(CLIENTE[[#This Row],[FECHA]],"YYYY")</f>
        <v>2021</v>
      </c>
      <c r="D116" s="59">
        <v>166</v>
      </c>
      <c r="E116" s="29" t="s">
        <v>316</v>
      </c>
      <c r="F116" s="10" t="str">
        <f>VLOOKUP(CLIENTE[[#This Row],[CLIENTE]],Tabla5[],2,FALSE)</f>
        <v>800.253.169-3</v>
      </c>
      <c r="G116" s="61">
        <v>980000</v>
      </c>
      <c r="H116" s="61"/>
      <c r="I116" s="61">
        <f t="shared" si="10"/>
        <v>980000</v>
      </c>
      <c r="J116" s="29" t="s">
        <v>314</v>
      </c>
      <c r="K116" s="72">
        <v>980000</v>
      </c>
      <c r="L116" s="72">
        <f>+CLIENTE[[#This Row],[VALOR]]-CLIENTE[[#This Row],[RTE FTE]]-CLIENTE[[#This Row],[Abono]]</f>
        <v>0</v>
      </c>
      <c r="M116" s="72"/>
      <c r="N116" s="72"/>
    </row>
    <row r="117" spans="1:14" x14ac:dyDescent="0.3">
      <c r="A117" s="65">
        <v>44449</v>
      </c>
      <c r="B117" s="66" t="str">
        <f>TEXT(CLIENTE[[#This Row],[FECHA]],"MMMM")</f>
        <v>septiembre</v>
      </c>
      <c r="C117" s="58" t="str">
        <f>TEXT(CLIENTE[[#This Row],[FECHA]],"YYYY")</f>
        <v>2021</v>
      </c>
      <c r="D117" s="59">
        <v>167</v>
      </c>
      <c r="E117" s="29" t="s">
        <v>309</v>
      </c>
      <c r="F117" s="10" t="str">
        <f>VLOOKUP(CLIENTE[[#This Row],[CLIENTE]],Tabla5[],2,FALSE)</f>
        <v>900.518.640-3</v>
      </c>
      <c r="G117" s="61">
        <v>360000</v>
      </c>
      <c r="H117" s="61">
        <f>+CLIENTE[[#This Row],[VALOR]]*6%</f>
        <v>21600</v>
      </c>
      <c r="I117" s="61">
        <f t="shared" si="10"/>
        <v>338400</v>
      </c>
      <c r="J117" s="29" t="s">
        <v>318</v>
      </c>
      <c r="K117" s="72">
        <v>338400</v>
      </c>
      <c r="L117" s="72">
        <f>+CLIENTE[[#This Row],[VALOR]]-CLIENTE[[#This Row],[RTE FTE]]-CLIENTE[[#This Row],[Abono]]</f>
        <v>0</v>
      </c>
      <c r="M117" s="72"/>
      <c r="N117" s="72"/>
    </row>
    <row r="118" spans="1:14" x14ac:dyDescent="0.3">
      <c r="A118" s="65">
        <v>44476</v>
      </c>
      <c r="B118" s="66" t="str">
        <f>TEXT(CLIENTE[[#This Row],[FECHA]],"MMMM")</f>
        <v>octubre</v>
      </c>
      <c r="C118" s="58" t="str">
        <f>TEXT(CLIENTE[[#This Row],[FECHA]],"YYYY")</f>
        <v>2021</v>
      </c>
      <c r="D118" s="59">
        <v>168</v>
      </c>
      <c r="E118" s="29" t="s">
        <v>177</v>
      </c>
      <c r="F118" s="10" t="str">
        <f>VLOOKUP(CLIENTE[[#This Row],[CLIENTE]],Tabla5[],2,FALSE)</f>
        <v>900.790.148-4</v>
      </c>
      <c r="G118" s="61">
        <v>480000</v>
      </c>
      <c r="H118" s="61"/>
      <c r="I118" s="61">
        <f t="shared" si="10"/>
        <v>480000</v>
      </c>
      <c r="J118" s="29" t="s">
        <v>319</v>
      </c>
      <c r="K118" s="72">
        <v>480000</v>
      </c>
      <c r="L118" s="72">
        <f>+CLIENTE[[#This Row],[VALOR]]-CLIENTE[[#This Row],[RTE FTE]]-CLIENTE[[#This Row],[Abono]]</f>
        <v>0</v>
      </c>
      <c r="M118" s="72"/>
      <c r="N118" s="72"/>
    </row>
    <row r="119" spans="1:14" x14ac:dyDescent="0.3">
      <c r="A119" s="65">
        <v>44481</v>
      </c>
      <c r="B119" s="66" t="str">
        <f>TEXT(CLIENTE[[#This Row],[FECHA]],"MMMM")</f>
        <v>octubre</v>
      </c>
      <c r="C119" s="58" t="str">
        <f>TEXT(CLIENTE[[#This Row],[FECHA]],"YYYY")</f>
        <v>2021</v>
      </c>
      <c r="D119" s="59">
        <v>169</v>
      </c>
      <c r="E119" s="29" t="s">
        <v>320</v>
      </c>
      <c r="F119" s="10" t="str">
        <f>VLOOKUP(CLIENTE[[#This Row],[CLIENTE]],Tabla5[],2,FALSE)</f>
        <v>900.294.051-1</v>
      </c>
      <c r="G119" s="61">
        <v>1200000</v>
      </c>
      <c r="H119" s="61">
        <f>+CLIENTE[[#This Row],[VALOR]]*2.5%</f>
        <v>30000</v>
      </c>
      <c r="I119" s="61">
        <f t="shared" si="10"/>
        <v>1170000</v>
      </c>
      <c r="J119" s="29" t="s">
        <v>322</v>
      </c>
      <c r="K119" s="72">
        <v>1170000</v>
      </c>
      <c r="L119" s="72">
        <f>+CLIENTE[[#This Row],[VALOR]]-CLIENTE[[#This Row],[RTE FTE]]-CLIENTE[[#This Row],[Abono]]</f>
        <v>0</v>
      </c>
      <c r="M119" s="72"/>
      <c r="N119" s="72"/>
    </row>
    <row r="120" spans="1:14" x14ac:dyDescent="0.3">
      <c r="A120" s="65">
        <v>44490</v>
      </c>
      <c r="B120" s="66" t="str">
        <f>TEXT(CLIENTE[[#This Row],[FECHA]],"MMMM")</f>
        <v>octubre</v>
      </c>
      <c r="C120" s="58" t="str">
        <f>TEXT(CLIENTE[[#This Row],[FECHA]],"YYYY")</f>
        <v>2021</v>
      </c>
      <c r="D120" s="59">
        <v>170</v>
      </c>
      <c r="E120" s="29" t="s">
        <v>323</v>
      </c>
      <c r="F120" s="10" t="str">
        <f>VLOOKUP(CLIENTE[[#This Row],[CLIENTE]],Tabla5[],2,FALSE)</f>
        <v>901.238.336-0</v>
      </c>
      <c r="G120" s="61">
        <v>590000</v>
      </c>
      <c r="H120" s="61"/>
      <c r="I120" s="61">
        <f t="shared" ref="I120:I125" si="11">+G120-H120</f>
        <v>590000</v>
      </c>
      <c r="J120" s="29" t="s">
        <v>325</v>
      </c>
      <c r="K120" s="72">
        <f>295000*2</f>
        <v>590000</v>
      </c>
      <c r="L120" s="72">
        <f>+CLIENTE[[#This Row],[VALOR]]-CLIENTE[[#This Row],[RTE FTE]]-CLIENTE[[#This Row],[Abono]]</f>
        <v>0</v>
      </c>
      <c r="M120" s="72"/>
      <c r="N120" s="72"/>
    </row>
    <row r="121" spans="1:14" x14ac:dyDescent="0.3">
      <c r="A121" s="65">
        <v>44509</v>
      </c>
      <c r="B121" s="66" t="str">
        <f>TEXT(CLIENTE[[#This Row],[FECHA]],"MMMM")</f>
        <v>noviembre</v>
      </c>
      <c r="C121" s="58" t="str">
        <f>TEXT(CLIENTE[[#This Row],[FECHA]],"YYYY")</f>
        <v>2021</v>
      </c>
      <c r="D121" s="59">
        <v>171</v>
      </c>
      <c r="E121" s="29" t="s">
        <v>177</v>
      </c>
      <c r="F121" s="10" t="str">
        <f>VLOOKUP(CLIENTE[[#This Row],[CLIENTE]],Tabla5[],2,FALSE)</f>
        <v>900.790.148-4</v>
      </c>
      <c r="G121" s="61">
        <v>0</v>
      </c>
      <c r="H121" s="61"/>
      <c r="I121" s="61">
        <f t="shared" si="11"/>
        <v>0</v>
      </c>
      <c r="J121" s="29" t="s">
        <v>326</v>
      </c>
      <c r="K121" s="72"/>
      <c r="L121" s="72">
        <f>+CLIENTE[[#This Row],[VALOR]]-CLIENTE[[#This Row],[RTE FTE]]-CLIENTE[[#This Row],[Abono]]</f>
        <v>0</v>
      </c>
      <c r="M121" s="75" t="s">
        <v>337</v>
      </c>
      <c r="N121" s="72"/>
    </row>
    <row r="122" spans="1:14" x14ac:dyDescent="0.3">
      <c r="A122" s="65">
        <v>44516</v>
      </c>
      <c r="B122" s="66" t="str">
        <f>TEXT(CLIENTE[[#This Row],[FECHA]],"MMMM")</f>
        <v>noviembre</v>
      </c>
      <c r="C122" s="58" t="str">
        <f>TEXT(CLIENTE[[#This Row],[FECHA]],"YYYY")</f>
        <v>2021</v>
      </c>
      <c r="D122" s="59">
        <v>172</v>
      </c>
      <c r="E122" s="29" t="s">
        <v>282</v>
      </c>
      <c r="F122" s="10" t="str">
        <f>VLOOKUP(CLIENTE[[#This Row],[CLIENTE]],Tabla5[],2,FALSE)</f>
        <v>900.828.771-1</v>
      </c>
      <c r="G122" s="61">
        <v>550000</v>
      </c>
      <c r="H122" s="61">
        <v>0</v>
      </c>
      <c r="I122" s="61">
        <f t="shared" si="11"/>
        <v>550000</v>
      </c>
      <c r="J122" s="29" t="s">
        <v>329</v>
      </c>
      <c r="K122" s="72">
        <f>300000+250000</f>
        <v>550000</v>
      </c>
      <c r="L122" s="72">
        <f>+CLIENTE[[#This Row],[VALOR]]-CLIENTE[[#This Row],[RTE FTE]]-CLIENTE[[#This Row],[Abono]]</f>
        <v>0</v>
      </c>
      <c r="M122" s="72"/>
      <c r="N122" s="72"/>
    </row>
    <row r="123" spans="1:14" x14ac:dyDescent="0.3">
      <c r="A123" s="65">
        <v>44526</v>
      </c>
      <c r="B123" s="66" t="str">
        <f>TEXT(CLIENTE[[#This Row],[FECHA]],"MMMM")</f>
        <v>noviembre</v>
      </c>
      <c r="C123" s="58" t="str">
        <f>TEXT(CLIENTE[[#This Row],[FECHA]],"YYYY")</f>
        <v>2021</v>
      </c>
      <c r="D123" s="59">
        <v>173</v>
      </c>
      <c r="E123" s="62" t="s">
        <v>327</v>
      </c>
      <c r="F123" s="10" t="str">
        <f>VLOOKUP(CLIENTE[[#This Row],[CLIENTE]],Tabla5[],2,FALSE)</f>
        <v>900.313.705-2</v>
      </c>
      <c r="G123" s="61">
        <v>580000</v>
      </c>
      <c r="H123" s="61"/>
      <c r="I123" s="61">
        <f t="shared" si="11"/>
        <v>580000</v>
      </c>
      <c r="J123" s="29" t="s">
        <v>330</v>
      </c>
      <c r="K123" s="72">
        <f>300000+280000</f>
        <v>580000</v>
      </c>
      <c r="L123" s="72">
        <f>+CLIENTE[[#This Row],[VALOR]]-CLIENTE[[#This Row],[RTE FTE]]-CLIENTE[[#This Row],[Abono]]</f>
        <v>0</v>
      </c>
      <c r="M123" s="72"/>
      <c r="N123" s="72"/>
    </row>
    <row r="124" spans="1:14" x14ac:dyDescent="0.3">
      <c r="A124" s="65">
        <v>44529</v>
      </c>
      <c r="B124" s="66" t="str">
        <f>TEXT(CLIENTE[[#This Row],[FECHA]],"MMMM")</f>
        <v>noviembre</v>
      </c>
      <c r="C124" s="58" t="str">
        <f>TEXT(CLIENTE[[#This Row],[FECHA]],"YYYY")</f>
        <v>2021</v>
      </c>
      <c r="D124" s="59">
        <v>174</v>
      </c>
      <c r="E124" s="29" t="s">
        <v>282</v>
      </c>
      <c r="F124" s="10" t="str">
        <f>VLOOKUP(CLIENTE[[#This Row],[CLIENTE]],Tabla5[],2,FALSE)</f>
        <v>900.828.771-1</v>
      </c>
      <c r="G124" s="61">
        <v>50000</v>
      </c>
      <c r="H124" s="61"/>
      <c r="I124" s="61">
        <f t="shared" si="11"/>
        <v>50000</v>
      </c>
      <c r="J124" s="18" t="s">
        <v>336</v>
      </c>
      <c r="K124" s="61">
        <v>50000</v>
      </c>
      <c r="L124" s="61">
        <f>+CLIENTE[[#This Row],[VALOR]]-CLIENTE[[#This Row],[RTE FTE]]-CLIENTE[[#This Row],[Abono]]</f>
        <v>0</v>
      </c>
      <c r="M124" s="72"/>
      <c r="N124" s="72"/>
    </row>
    <row r="125" spans="1:14" x14ac:dyDescent="0.3">
      <c r="A125" s="65">
        <v>44531</v>
      </c>
      <c r="B125" s="66" t="str">
        <f>TEXT(CLIENTE[[#This Row],[FECHA]],"MMMM")</f>
        <v>diciembre</v>
      </c>
      <c r="C125" s="58" t="str">
        <f>TEXT(CLIENTE[[#This Row],[FECHA]],"YYYY")</f>
        <v>2021</v>
      </c>
      <c r="D125" s="59">
        <v>175</v>
      </c>
      <c r="E125" s="29" t="s">
        <v>333</v>
      </c>
      <c r="F125" s="10" t="str">
        <f>VLOOKUP(CLIENTE[[#This Row],[CLIENTE]],Tabla5[],2,FALSE)</f>
        <v>811.020.023-7</v>
      </c>
      <c r="G125" s="61">
        <v>610000</v>
      </c>
      <c r="H125" s="61"/>
      <c r="I125" s="61">
        <f t="shared" si="11"/>
        <v>610000</v>
      </c>
      <c r="J125" s="29" t="s">
        <v>335</v>
      </c>
      <c r="K125" s="61">
        <v>610000</v>
      </c>
      <c r="L125" s="61">
        <f>+CLIENTE[[#This Row],[VALOR]]-CLIENTE[[#This Row],[RTE FTE]]-CLIENTE[[#This Row],[Abono]]</f>
        <v>0</v>
      </c>
      <c r="M125" s="72"/>
      <c r="N125" s="72"/>
    </row>
    <row r="126" spans="1:14" x14ac:dyDescent="0.3">
      <c r="A126" s="65">
        <v>44531</v>
      </c>
      <c r="B126" s="66" t="str">
        <f>TEXT(CLIENTE[[#This Row],[FECHA]],"MMMM")</f>
        <v>diciembre</v>
      </c>
      <c r="C126" s="58" t="str">
        <f>TEXT(CLIENTE[[#This Row],[FECHA]],"YYYY")</f>
        <v>2021</v>
      </c>
      <c r="D126" s="59">
        <v>176</v>
      </c>
      <c r="E126" s="29" t="s">
        <v>177</v>
      </c>
      <c r="F126" s="10" t="str">
        <f>VLOOKUP(CLIENTE[[#This Row],[CLIENTE]],Tabla5[],2,FALSE)</f>
        <v>900.790.148-4</v>
      </c>
      <c r="G126" s="61">
        <v>480000</v>
      </c>
      <c r="H126" s="61"/>
      <c r="I126" s="61">
        <f>+G126-H126</f>
        <v>480000</v>
      </c>
      <c r="J126" s="29" t="s">
        <v>339</v>
      </c>
      <c r="K126" s="61">
        <f>240000+240000</f>
        <v>480000</v>
      </c>
      <c r="L126" s="61">
        <f>+CLIENTE[[#This Row],[VALOR]]-CLIENTE[[#This Row],[RTE FTE]]-CLIENTE[[#This Row],[Abono]]</f>
        <v>0</v>
      </c>
      <c r="M126" s="61"/>
      <c r="N126" s="72"/>
    </row>
    <row r="127" spans="1:14" x14ac:dyDescent="0.3">
      <c r="A127" s="65">
        <v>44580</v>
      </c>
      <c r="B127" s="66" t="str">
        <f>TEXT(CLIENTE[[#This Row],[FECHA]],"MMMM")</f>
        <v>enero</v>
      </c>
      <c r="C127" s="58" t="str">
        <f>TEXT(CLIENTE[[#This Row],[FECHA]],"YYYY")</f>
        <v>2022</v>
      </c>
      <c r="D127" s="59">
        <v>177</v>
      </c>
      <c r="E127" s="29" t="s">
        <v>177</v>
      </c>
      <c r="F127" s="10" t="str">
        <f>VLOOKUP(CLIENTE[[#This Row],[CLIENTE]],Tabla5[],2,FALSE)</f>
        <v>900.790.148-4</v>
      </c>
      <c r="G127" s="61">
        <v>400000</v>
      </c>
      <c r="H127" s="61"/>
      <c r="I127" s="61">
        <f>+G127-H127</f>
        <v>400000</v>
      </c>
      <c r="J127" s="29" t="s">
        <v>342</v>
      </c>
      <c r="K127" s="30">
        <f>200000+200000</f>
        <v>400000</v>
      </c>
      <c r="L127" s="61">
        <f>+CLIENTE[[#This Row],[VALOR]]-CLIENTE[[#This Row],[RTE FTE]]-CLIENTE[[#This Row],[Abono]]</f>
        <v>0</v>
      </c>
      <c r="M127" s="61"/>
      <c r="N127" s="61"/>
    </row>
    <row r="128" spans="1:14" x14ac:dyDescent="0.3">
      <c r="A128" s="65">
        <v>44580</v>
      </c>
      <c r="B128" s="66" t="str">
        <f>TEXT(CLIENTE[[#This Row],[FECHA]],"MMMM")</f>
        <v>enero</v>
      </c>
      <c r="C128" s="58" t="str">
        <f>TEXT(CLIENTE[[#This Row],[FECHA]],"YYYY")</f>
        <v>2022</v>
      </c>
      <c r="D128" s="59">
        <v>178</v>
      </c>
      <c r="E128" s="29" t="s">
        <v>177</v>
      </c>
      <c r="F128" s="10" t="str">
        <f>VLOOKUP(CLIENTE[[#This Row],[CLIENTE]],Tabla5[],2,FALSE)</f>
        <v>900.790.148-4</v>
      </c>
      <c r="G128" s="61">
        <v>480000</v>
      </c>
      <c r="H128" s="61"/>
      <c r="I128" s="61">
        <f>+G128-H128</f>
        <v>480000</v>
      </c>
      <c r="J128" s="29" t="s">
        <v>343</v>
      </c>
      <c r="K128" s="61">
        <f>240000+240000</f>
        <v>480000</v>
      </c>
      <c r="L128" s="61">
        <f>+CLIENTE[[#This Row],[VALOR]]-CLIENTE[[#This Row],[RTE FTE]]-CLIENTE[[#This Row],[Abono]]</f>
        <v>0</v>
      </c>
      <c r="M128" s="61"/>
      <c r="N128" s="61"/>
    </row>
    <row r="129" spans="1:14" x14ac:dyDescent="0.3">
      <c r="A129" s="65">
        <v>44616</v>
      </c>
      <c r="B129" s="66" t="str">
        <f>TEXT(CLIENTE[[#This Row],[FECHA]],"MMMM")</f>
        <v>febrero</v>
      </c>
      <c r="C129" s="58" t="str">
        <f>TEXT(CLIENTE[[#This Row],[FECHA]],"YYYY")</f>
        <v>2022</v>
      </c>
      <c r="D129" s="59">
        <v>179</v>
      </c>
      <c r="E129" s="62" t="s">
        <v>346</v>
      </c>
      <c r="F129" s="10" t="str">
        <f>VLOOKUP(CLIENTE[[#This Row],[CLIENTE]],Tabla5[],2,FALSE)</f>
        <v>900.549.783-0</v>
      </c>
      <c r="G129" s="61">
        <v>1500000</v>
      </c>
      <c r="H129" s="61">
        <f>+CLIENTE[[#This Row],[VALOR]]*3.7%</f>
        <v>55500.000000000007</v>
      </c>
      <c r="I129" s="61">
        <f>+G129-H129</f>
        <v>1444500</v>
      </c>
      <c r="J129" s="29" t="s">
        <v>344</v>
      </c>
      <c r="K129" s="61">
        <f>750000+694500</f>
        <v>1444500</v>
      </c>
      <c r="L129" s="61">
        <f>+CLIENTE[[#This Row],[VALOR]]-CLIENTE[[#This Row],[RTE FTE]]-CLIENTE[[#This Row],[Abono]]</f>
        <v>0</v>
      </c>
      <c r="M129" s="61"/>
      <c r="N129" s="61"/>
    </row>
    <row r="130" spans="1:14" x14ac:dyDescent="0.3">
      <c r="A130" s="65">
        <v>44655</v>
      </c>
      <c r="B130" s="66" t="str">
        <f>TEXT(CLIENTE[[#This Row],[FECHA]],"MMMM")</f>
        <v>abril</v>
      </c>
      <c r="C130" s="58" t="str">
        <f>TEXT(CLIENTE[[#This Row],[FECHA]],"YYYY")</f>
        <v>2022</v>
      </c>
      <c r="D130" s="59">
        <v>180</v>
      </c>
      <c r="E130" s="35" t="s">
        <v>348</v>
      </c>
      <c r="F130" s="10" t="str">
        <f>VLOOKUP(CLIENTE[[#This Row],[CLIENTE]],Tabla5[],2,FALSE)</f>
        <v>901.412.993-5</v>
      </c>
      <c r="G130" s="61">
        <v>700000</v>
      </c>
      <c r="H130" s="61"/>
      <c r="I130" s="61">
        <f>+G130-H130</f>
        <v>700000</v>
      </c>
      <c r="J130" s="29" t="s">
        <v>347</v>
      </c>
      <c r="K130" s="61"/>
      <c r="L130" s="61">
        <f>+CLIENTE[[#This Row],[VALOR]]-CLIENTE[[#This Row],[RTE FTE]]-CLIENTE[[#This Row],[Abono]]</f>
        <v>700000</v>
      </c>
      <c r="M130" s="61"/>
      <c r="N130" s="61"/>
    </row>
  </sheetData>
  <phoneticPr fontId="14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D7D5-3718-4893-9957-4893A7AAD500}">
  <dimension ref="D1:J18"/>
  <sheetViews>
    <sheetView workbookViewId="0">
      <selection activeCell="I7" sqref="I7:J8"/>
    </sheetView>
  </sheetViews>
  <sheetFormatPr baseColWidth="10" defaultRowHeight="14.4" x14ac:dyDescent="0.3"/>
  <cols>
    <col min="4" max="5" width="15.109375" bestFit="1" customWidth="1"/>
    <col min="7" max="7" width="12.5546875" bestFit="1" customWidth="1"/>
    <col min="9" max="10" width="10" bestFit="1" customWidth="1"/>
  </cols>
  <sheetData>
    <row r="1" spans="4:10" x14ac:dyDescent="0.3">
      <c r="D1" s="78">
        <f>+SUM(D2+E2)</f>
        <v>50841839.210000001</v>
      </c>
      <c r="E1" s="79"/>
      <c r="F1">
        <v>49850000</v>
      </c>
      <c r="G1" s="69">
        <f>+D1-F1</f>
        <v>991839.21000000089</v>
      </c>
    </row>
    <row r="2" spans="4:10" x14ac:dyDescent="0.3">
      <c r="D2" s="69">
        <f>+SUM(D4:D7)</f>
        <v>33461722.640000001</v>
      </c>
      <c r="E2" s="69">
        <f>+SUM(E4:E17)</f>
        <v>17380116.57</v>
      </c>
    </row>
    <row r="3" spans="4:10" x14ac:dyDescent="0.3">
      <c r="D3" t="s">
        <v>307</v>
      </c>
      <c r="E3" t="s">
        <v>308</v>
      </c>
    </row>
    <row r="4" spans="4:10" x14ac:dyDescent="0.3">
      <c r="D4" s="68">
        <v>3398207.44</v>
      </c>
      <c r="E4" s="68">
        <v>3881996.8</v>
      </c>
      <c r="F4" s="68"/>
    </row>
    <row r="5" spans="4:10" x14ac:dyDescent="0.3">
      <c r="D5" s="68">
        <v>5062172.76</v>
      </c>
      <c r="E5" s="68">
        <v>1751895.21</v>
      </c>
      <c r="F5" s="68"/>
    </row>
    <row r="6" spans="4:10" x14ac:dyDescent="0.3">
      <c r="D6" s="68">
        <v>9928014.2899999991</v>
      </c>
      <c r="E6" s="68">
        <v>2609302.87</v>
      </c>
      <c r="F6" s="68"/>
      <c r="I6">
        <v>330000</v>
      </c>
      <c r="J6">
        <v>280000</v>
      </c>
    </row>
    <row r="7" spans="4:10" x14ac:dyDescent="0.3">
      <c r="D7" s="68">
        <v>15073328.15</v>
      </c>
      <c r="E7" s="68">
        <v>1680713.53</v>
      </c>
      <c r="F7" s="68"/>
      <c r="H7">
        <f>1.35*1.6</f>
        <v>2.16</v>
      </c>
      <c r="I7" s="36">
        <f>+I6*H7</f>
        <v>712800</v>
      </c>
      <c r="J7" s="36">
        <f>+J6*H7</f>
        <v>604800</v>
      </c>
    </row>
    <row r="8" spans="4:10" x14ac:dyDescent="0.3">
      <c r="D8" s="68"/>
      <c r="E8" s="68">
        <v>1681074.66</v>
      </c>
      <c r="F8" s="68"/>
      <c r="H8">
        <f>1.25*1.4</f>
        <v>1.75</v>
      </c>
      <c r="I8" s="36">
        <f>+I6*H8</f>
        <v>577500</v>
      </c>
      <c r="J8" s="36">
        <f>+J6*H8</f>
        <v>490000</v>
      </c>
    </row>
    <row r="9" spans="4:10" x14ac:dyDescent="0.3">
      <c r="D9" s="68"/>
      <c r="E9" s="68">
        <v>2823423.4</v>
      </c>
      <c r="F9" s="68"/>
    </row>
    <row r="10" spans="4:10" x14ac:dyDescent="0.3">
      <c r="D10" s="68"/>
      <c r="E10" s="68">
        <v>2551694.25</v>
      </c>
      <c r="F10" s="68"/>
    </row>
    <row r="11" spans="4:10" x14ac:dyDescent="0.3">
      <c r="E11" s="68">
        <v>14.7</v>
      </c>
    </row>
    <row r="12" spans="4:10" x14ac:dyDescent="0.3">
      <c r="E12" s="68">
        <v>0.7</v>
      </c>
    </row>
    <row r="13" spans="4:10" x14ac:dyDescent="0.3">
      <c r="E13" s="68">
        <v>0.1</v>
      </c>
    </row>
    <row r="14" spans="4:10" x14ac:dyDescent="0.3">
      <c r="E14" s="68">
        <v>200000.35</v>
      </c>
    </row>
    <row r="15" spans="4:10" x14ac:dyDescent="0.3">
      <c r="E15" s="68">
        <v>200000</v>
      </c>
    </row>
    <row r="16" spans="4:10" x14ac:dyDescent="0.3">
      <c r="E16" s="68"/>
    </row>
    <row r="17" spans="5:5" x14ac:dyDescent="0.3">
      <c r="E17" s="68"/>
    </row>
    <row r="18" spans="5:5" x14ac:dyDescent="0.3">
      <c r="E18" s="68"/>
    </row>
  </sheetData>
  <mergeCells count="1"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7"/>
  <sheetViews>
    <sheetView workbookViewId="0">
      <selection activeCell="F6" sqref="F6"/>
    </sheetView>
  </sheetViews>
  <sheetFormatPr baseColWidth="10" defaultRowHeight="14.4" x14ac:dyDescent="0.3"/>
  <cols>
    <col min="1" max="1" width="41.88671875" bestFit="1" customWidth="1"/>
    <col min="2" max="2" width="17.5546875" bestFit="1" customWidth="1"/>
    <col min="3" max="3" width="15.109375" customWidth="1"/>
    <col min="4" max="4" width="17.6640625" customWidth="1"/>
    <col min="5" max="5" width="15.5546875" customWidth="1"/>
    <col min="6" max="6" width="12.5546875" bestFit="1" customWidth="1"/>
  </cols>
  <sheetData>
    <row r="2" spans="1:6" ht="23.4" x14ac:dyDescent="0.45">
      <c r="A2" s="80" t="s">
        <v>213</v>
      </c>
      <c r="B2" s="80"/>
      <c r="C2" s="80"/>
      <c r="D2" s="80"/>
      <c r="E2" s="80"/>
      <c r="F2" s="80"/>
    </row>
    <row r="3" spans="1:6" ht="23.4" x14ac:dyDescent="0.45">
      <c r="A3" s="80" t="s">
        <v>205</v>
      </c>
      <c r="B3" s="80"/>
      <c r="C3" s="80"/>
      <c r="D3" s="80"/>
      <c r="E3" s="80"/>
      <c r="F3" s="80"/>
    </row>
    <row r="4" spans="1:6" ht="23.4" x14ac:dyDescent="0.45">
      <c r="A4" s="40"/>
      <c r="B4" s="42" t="s">
        <v>212</v>
      </c>
      <c r="C4" s="43">
        <f>+SUM(Tabla6[2018])</f>
        <v>56269560</v>
      </c>
      <c r="D4" s="43">
        <f>+SUM(Tabla6[2019])</f>
        <v>15239000</v>
      </c>
      <c r="E4" s="43">
        <f>+SUM(Tabla6[2020])</f>
        <v>7490000</v>
      </c>
      <c r="F4" s="43">
        <f>+SUM(Tabla6[2021])</f>
        <v>26965000</v>
      </c>
    </row>
    <row r="5" spans="1:6" ht="18" x14ac:dyDescent="0.35">
      <c r="A5" s="38" t="s">
        <v>206</v>
      </c>
      <c r="B5" s="38" t="s">
        <v>211</v>
      </c>
      <c r="C5" s="39" t="s">
        <v>207</v>
      </c>
      <c r="D5" s="39" t="s">
        <v>208</v>
      </c>
      <c r="E5" s="39" t="s">
        <v>209</v>
      </c>
      <c r="F5" s="39" t="s">
        <v>210</v>
      </c>
    </row>
    <row r="6" spans="1:6" x14ac:dyDescent="0.3">
      <c r="A6" s="14" t="str">
        <f>B.D!B4</f>
        <v>ALGAMAR S.A</v>
      </c>
      <c r="B6" s="37">
        <f>+SUMIFS(CLIENTE[VALOR],CLIENTE[CLIENTE],Tabla6[[#This Row],[CLIENTE/AÑO]])</f>
        <v>26620000</v>
      </c>
      <c r="C6" s="36">
        <f>+SUMIFS(CLIENTE[VALOR],CLIENTE[CLIENTE],A6,CLIENTE[AÑO],$C$5)</f>
        <v>26620000</v>
      </c>
      <c r="D6" s="36">
        <f>+SUMIFS(CLIENTE[VALOR],CLIENTE[CLIENTE],A6,CLIENTE[AÑO],$D$5)</f>
        <v>0</v>
      </c>
      <c r="E6" s="36">
        <f>+SUMIFS(CLIENTE[VALOR],CLIENTE[CLIENTE],A6,CLIENTE[AÑO],$E$5)</f>
        <v>0</v>
      </c>
      <c r="F6" s="36">
        <f>+SUMIFS(CLIENTE[VALOR],CLIENTE[CLIENTE],A6,CLIENTE[AÑO],$F$5)</f>
        <v>0</v>
      </c>
    </row>
    <row r="7" spans="1:6" x14ac:dyDescent="0.3">
      <c r="A7" s="14" t="str">
        <f>B.D!B5</f>
        <v>HPTU</v>
      </c>
      <c r="B7" s="37">
        <f>+SUMIFS(CLIENTE[VALOR],CLIENTE[CLIENTE],Tabla6[[#This Row],[CLIENTE/AÑO]])</f>
        <v>810000</v>
      </c>
      <c r="C7" s="36">
        <f>+SUMIFS(CLIENTE[VALOR],CLIENTE[CLIENTE],A7,CLIENTE[AÑO],$C$5)</f>
        <v>810000</v>
      </c>
      <c r="D7" s="36">
        <f>+SUMIFS(CLIENTE[VALOR],CLIENTE[CLIENTE],A7,CLIENTE[AÑO],$D$5)</f>
        <v>0</v>
      </c>
      <c r="E7" s="36">
        <f>+SUMIFS(CLIENTE[VALOR],CLIENTE[CLIENTE],A7,CLIENTE[AÑO],$E$5)</f>
        <v>0</v>
      </c>
      <c r="F7" s="36">
        <f>+SUMIFS(CLIENTE[VALOR],CLIENTE[CLIENTE],A7,CLIENTE[AÑO],$F$5)</f>
        <v>0</v>
      </c>
    </row>
    <row r="8" spans="1:6" x14ac:dyDescent="0.3">
      <c r="A8" s="14" t="str">
        <f>B.D!B6</f>
        <v>EFITRANS</v>
      </c>
      <c r="B8" s="37">
        <f>+SUMIFS(CLIENTE[VALOR],CLIENTE[CLIENTE],Tabla6[[#This Row],[CLIENTE/AÑO]])</f>
        <v>530000</v>
      </c>
      <c r="C8" s="36">
        <f>+SUMIFS(CLIENTE[VALOR],CLIENTE[CLIENTE],A8,CLIENTE[AÑO],$C$5)</f>
        <v>530000</v>
      </c>
      <c r="D8" s="36">
        <f>+SUMIFS(CLIENTE[VALOR],CLIENTE[CLIENTE],A8,CLIENTE[AÑO],$D$5)</f>
        <v>0</v>
      </c>
      <c r="E8" s="36">
        <f>+SUMIFS(CLIENTE[VALOR],CLIENTE[CLIENTE],A8,CLIENTE[AÑO],$E$5)</f>
        <v>0</v>
      </c>
      <c r="F8" s="36">
        <f>+SUMIFS(CLIENTE[VALOR],CLIENTE[CLIENTE],A8,CLIENTE[AÑO],$F$5)</f>
        <v>0</v>
      </c>
    </row>
    <row r="9" spans="1:6" x14ac:dyDescent="0.3">
      <c r="A9" s="14" t="str">
        <f>B.D!B7</f>
        <v>EL TESORO ENTRETENIMIENTO</v>
      </c>
      <c r="B9" s="37">
        <f>+SUMIFS(CLIENTE[VALOR],CLIENTE[CLIENTE],Tabla6[[#This Row],[CLIENTE/AÑO]])</f>
        <v>16282360</v>
      </c>
      <c r="C9" s="36">
        <f>+SUMIFS(CLIENTE[VALOR],CLIENTE[CLIENTE],A9,CLIENTE[AÑO],$C$5)</f>
        <v>14092360</v>
      </c>
      <c r="D9" s="36">
        <f>+SUMIFS(CLIENTE[VALOR],CLIENTE[CLIENTE],A9,CLIENTE[AÑO],$D$5)</f>
        <v>1210000</v>
      </c>
      <c r="E9" s="36">
        <f>+SUMIFS(CLIENTE[VALOR],CLIENTE[CLIENTE],A9,CLIENTE[AÑO],$E$5)</f>
        <v>0</v>
      </c>
      <c r="F9" s="36">
        <f>+SUMIFS(CLIENTE[VALOR],CLIENTE[CLIENTE],A9,CLIENTE[AÑO],$F$5)</f>
        <v>980000</v>
      </c>
    </row>
    <row r="10" spans="1:6" x14ac:dyDescent="0.3">
      <c r="A10" s="14" t="str">
        <f>B.D!B8</f>
        <v>REIMPEX S.A</v>
      </c>
      <c r="B10" s="37">
        <f>+SUMIFS(CLIENTE[VALOR],CLIENTE[CLIENTE],Tabla6[[#This Row],[CLIENTE/AÑO]])</f>
        <v>775000</v>
      </c>
      <c r="D10" s="36">
        <f>+SUMIFS(CLIENTE[VALOR],CLIENTE[CLIENTE],A10,CLIENTE[AÑO],$D$5)</f>
        <v>405000</v>
      </c>
      <c r="E10" s="36">
        <f>+SUMIFS(CLIENTE[VALOR],CLIENTE[CLIENTE],A10,CLIENTE[AÑO],$E$5)</f>
        <v>0</v>
      </c>
      <c r="F10" s="36">
        <f>+SUMIFS(CLIENTE[VALOR],CLIENTE[CLIENTE],A10,CLIENTE[AÑO],$F$5)</f>
        <v>0</v>
      </c>
    </row>
    <row r="11" spans="1:6" x14ac:dyDescent="0.3">
      <c r="A11" s="14" t="str">
        <f>B.D!B9</f>
        <v>URBANIZACION SAINT PIERRE P.H</v>
      </c>
      <c r="B11" s="37">
        <f>+SUMIFS(CLIENTE[VALOR],CLIENTE[CLIENTE],Tabla6[[#This Row],[CLIENTE/AÑO]])</f>
        <v>367200</v>
      </c>
      <c r="C11" s="36">
        <f>+SUMIFS(CLIENTE[VALOR],CLIENTE[CLIENTE],A11,CLIENTE[AÑO],$C$5)</f>
        <v>367200</v>
      </c>
      <c r="D11" s="36">
        <f>+SUMIFS(CLIENTE[VALOR],CLIENTE[CLIENTE],A11,CLIENTE[AÑO],$D$5)</f>
        <v>0</v>
      </c>
      <c r="E11" s="36">
        <f>+SUMIFS(CLIENTE[VALOR],CLIENTE[CLIENTE],A11,CLIENTE[AÑO],$E$5)</f>
        <v>0</v>
      </c>
      <c r="F11" s="36">
        <f>+SUMIFS(CLIENTE[VALOR],CLIENTE[CLIENTE],A11,CLIENTE[AÑO],$F$5)</f>
        <v>0</v>
      </c>
    </row>
    <row r="12" spans="1:6" x14ac:dyDescent="0.3">
      <c r="A12" s="14" t="str">
        <f>B.D!B10</f>
        <v>URBANIZACION SAINT MARTEEN P.H</v>
      </c>
      <c r="B12" s="37">
        <f>+SUMIFS(CLIENTE[VALOR],CLIENTE[CLIENTE],Tabla6[[#This Row],[CLIENTE/AÑO]])</f>
        <v>350000</v>
      </c>
      <c r="C12" s="36">
        <f>+SUMIFS(CLIENTE[VALOR],CLIENTE[CLIENTE],A12,CLIENTE[AÑO],$C$5)</f>
        <v>350000</v>
      </c>
      <c r="D12" s="36">
        <f>+SUMIFS(CLIENTE[VALOR],CLIENTE[CLIENTE],A12,CLIENTE[AÑO],$D$5)</f>
        <v>0</v>
      </c>
      <c r="E12" s="36">
        <f>+SUMIFS(CLIENTE[VALOR],CLIENTE[CLIENTE],A12,CLIENTE[AÑO],$E$5)</f>
        <v>0</v>
      </c>
      <c r="F12" s="36">
        <f>+SUMIFS(CLIENTE[VALOR],CLIENTE[CLIENTE],A12,CLIENTE[AÑO],$F$5)</f>
        <v>0</v>
      </c>
    </row>
    <row r="13" spans="1:6" x14ac:dyDescent="0.3">
      <c r="A13" s="14" t="str">
        <f>B.D!B11</f>
        <v>HECKCACOL SERVICIOS INDUSTRIALES S.A.S</v>
      </c>
      <c r="B13" s="37">
        <f>+SUMIFS(CLIENTE[VALOR],CLIENTE[CLIENTE],Tabla6[[#This Row],[CLIENTE/AÑO]])</f>
        <v>1280000</v>
      </c>
      <c r="C13" s="36">
        <f>+SUMIFS(CLIENTE[VALOR],CLIENTE[CLIENTE],A13,CLIENTE[AÑO],$C$5)</f>
        <v>650000</v>
      </c>
      <c r="D13" s="36">
        <f>+SUMIFS(CLIENTE[VALOR],CLIENTE[CLIENTE],A13,CLIENTE[AÑO],$D$5)</f>
        <v>0</v>
      </c>
      <c r="E13" s="36">
        <f>+SUMIFS(CLIENTE[VALOR],CLIENTE[CLIENTE],A13,CLIENTE[AÑO],$E$5)</f>
        <v>630000</v>
      </c>
      <c r="F13" s="36">
        <f>+SUMIFS(CLIENTE[VALOR],CLIENTE[CLIENTE],A13,CLIENTE[AÑO],$F$5)</f>
        <v>0</v>
      </c>
    </row>
    <row r="14" spans="1:6" x14ac:dyDescent="0.3">
      <c r="A14" s="14" t="str">
        <f>B.D!B12</f>
        <v>PLATAFORMA LOGISTICA Y COMERCIAL S.A.S</v>
      </c>
      <c r="B14" s="37">
        <f>+SUMIFS(CLIENTE[VALOR],CLIENTE[CLIENTE],Tabla6[[#This Row],[CLIENTE/AÑO]])</f>
        <v>22104000</v>
      </c>
      <c r="C14" s="36">
        <f>+SUMIFS(CLIENTE[VALOR],CLIENTE[CLIENTE],A14,CLIENTE[AÑO],$C$5)</f>
        <v>9600000</v>
      </c>
      <c r="D14" s="36">
        <f>+SUMIFS(CLIENTE[VALOR],CLIENTE[CLIENTE],A14,CLIENTE[AÑO],$D$5)</f>
        <v>12504000</v>
      </c>
      <c r="E14" s="36">
        <f>+SUMIFS(CLIENTE[VALOR],CLIENTE[CLIENTE],A14,CLIENTE[AÑO],$E$5)</f>
        <v>0</v>
      </c>
      <c r="F14" s="36">
        <f>+SUMIFS(CLIENTE[VALOR],CLIENTE[CLIENTE],A14,CLIENTE[AÑO],$F$5)</f>
        <v>0</v>
      </c>
    </row>
    <row r="15" spans="1:6" x14ac:dyDescent="0.3">
      <c r="A15" s="14" t="str">
        <f>B.D!B13</f>
        <v>RISKS &amp; PROTECTION LTDA</v>
      </c>
      <c r="B15" s="37">
        <f>+SUMIFS(CLIENTE[VALOR],CLIENTE[CLIENTE],Tabla6[[#This Row],[CLIENTE/AÑO]])</f>
        <v>350000</v>
      </c>
      <c r="C15" s="36">
        <f>+SUMIFS(CLIENTE[VALOR],CLIENTE[CLIENTE],A15,CLIENTE[AÑO],$C$5)</f>
        <v>350000</v>
      </c>
      <c r="D15" s="36">
        <f>+SUMIFS(CLIENTE[VALOR],CLIENTE[CLIENTE],A15,CLIENTE[AÑO],$D$5)</f>
        <v>0</v>
      </c>
      <c r="E15" s="36">
        <f>+SUMIFS(CLIENTE[VALOR],CLIENTE[CLIENTE],A15,CLIENTE[AÑO],$E$5)</f>
        <v>0</v>
      </c>
      <c r="F15" s="36">
        <f>+SUMIFS(CLIENTE[VALOR],CLIENTE[CLIENTE],A15,CLIENTE[AÑO],$F$5)</f>
        <v>0</v>
      </c>
    </row>
    <row r="16" spans="1:6" x14ac:dyDescent="0.3">
      <c r="A16" s="14" t="str">
        <f>B.D!B14</f>
        <v>CARLOS MARIO MOLINA V</v>
      </c>
      <c r="B16" s="37">
        <f>+SUMIFS(CLIENTE[VALOR],CLIENTE[CLIENTE],Tabla6[[#This Row],[CLIENTE/AÑO]])</f>
        <v>800000</v>
      </c>
      <c r="C16" s="36">
        <f>+SUMIFS(CLIENTE[VALOR],CLIENTE[CLIENTE],A16,CLIENTE[AÑO],$C$5)</f>
        <v>800000</v>
      </c>
      <c r="D16" s="36">
        <f>+SUMIFS(CLIENTE[VALOR],CLIENTE[CLIENTE],A16,CLIENTE[AÑO],$D$5)</f>
        <v>0</v>
      </c>
      <c r="E16" s="36">
        <f>+SUMIFS(CLIENTE[VALOR],CLIENTE[CLIENTE],A16,CLIENTE[AÑO],$E$5)</f>
        <v>0</v>
      </c>
      <c r="F16" s="36">
        <f>+SUMIFS(CLIENTE[VALOR],CLIENTE[CLIENTE],A16,CLIENTE[AÑO],$F$5)</f>
        <v>0</v>
      </c>
    </row>
    <row r="17" spans="1:6" x14ac:dyDescent="0.3">
      <c r="A17" s="14" t="str">
        <f>B.D!B15</f>
        <v>EFITRANS S.A.S</v>
      </c>
      <c r="B17" s="37">
        <f>+SUMIFS(CLIENTE[VALOR],CLIENTE[CLIENTE],Tabla6[[#This Row],[CLIENTE/AÑO]])</f>
        <v>820000</v>
      </c>
      <c r="C17" s="36">
        <f>+SUMIFS(CLIENTE[VALOR],CLIENTE[CLIENTE],A17,CLIENTE[AÑO],$C$5)</f>
        <v>0</v>
      </c>
      <c r="D17" s="36">
        <f>+SUMIFS(CLIENTE[VALOR],CLIENTE[CLIENTE],A17,CLIENTE[AÑO],$D$5)</f>
        <v>820000</v>
      </c>
      <c r="E17" s="36">
        <f>+SUMIFS(CLIENTE[VALOR],CLIENTE[CLIENTE],A17,CLIENTE[AÑO],$E$5)</f>
        <v>0</v>
      </c>
      <c r="F17" s="36">
        <f>+SUMIFS(CLIENTE[VALOR],CLIENTE[CLIENTE],A17,CLIENTE[AÑO],$F$5)</f>
        <v>0</v>
      </c>
    </row>
    <row r="18" spans="1:6" x14ac:dyDescent="0.3">
      <c r="A18" s="14" t="str">
        <f>B.D!B16</f>
        <v>SINTRABANCOL</v>
      </c>
      <c r="B18" s="37">
        <f>+SUMIFS(CLIENTE[VALOR],CLIENTE[CLIENTE],Tabla6[[#This Row],[CLIENTE/AÑO]])</f>
        <v>185000</v>
      </c>
      <c r="D18" s="36">
        <f>+SUMIFS(CLIENTE[VALOR],CLIENTE[CLIENTE],A18,CLIENTE[AÑO],$D$5)</f>
        <v>0</v>
      </c>
      <c r="E18" s="36">
        <f>+SUMIFS(CLIENTE[VALOR],CLIENTE[CLIENTE],A18,CLIENTE[AÑO],$E$5)</f>
        <v>0</v>
      </c>
      <c r="F18" s="36">
        <f>+SUMIFS(CLIENTE[VALOR],CLIENTE[CLIENTE],A18,CLIENTE[AÑO],$F$5)</f>
        <v>0</v>
      </c>
    </row>
    <row r="19" spans="1:6" x14ac:dyDescent="0.3">
      <c r="A19" s="14" t="str">
        <f>B.D!B17</f>
        <v>FIJACIONES OROZCO S.A.S</v>
      </c>
      <c r="B19" s="37">
        <f>+SUMIFS(CLIENTE[VALOR],CLIENTE[CLIENTE],Tabla6[[#This Row],[CLIENTE/AÑO]])</f>
        <v>100000</v>
      </c>
      <c r="C19" s="36">
        <f>+SUMIFS(CLIENTE[VALOR],CLIENTE[CLIENTE],A19,CLIENTE[AÑO],$C$5)</f>
        <v>100000</v>
      </c>
      <c r="D19" s="36">
        <f>+SUMIFS(CLIENTE[VALOR],CLIENTE[CLIENTE],A19,CLIENTE[AÑO],$D$5)</f>
        <v>0</v>
      </c>
      <c r="E19" s="36">
        <f>+SUMIFS(CLIENTE[VALOR],CLIENTE[CLIENTE],A19,CLIENTE[AÑO],$E$5)</f>
        <v>0</v>
      </c>
      <c r="F19" s="36">
        <f>+SUMIFS(CLIENTE[VALOR],CLIENTE[CLIENTE],A19,CLIENTE[AÑO],$F$5)</f>
        <v>0</v>
      </c>
    </row>
    <row r="20" spans="1:6" x14ac:dyDescent="0.3">
      <c r="A20" s="14" t="str">
        <f>B.D!B18</f>
        <v>GABRIEL ARTURO ALZATE</v>
      </c>
      <c r="B20" s="37">
        <f>+SUMIFS(CLIENTE[VALOR],CLIENTE[CLIENTE],Tabla6[[#This Row],[CLIENTE/AÑO]])</f>
        <v>2000000</v>
      </c>
      <c r="C20" s="36">
        <f>+SUMIFS(CLIENTE[VALOR],CLIENTE[CLIENTE],A20,CLIENTE[AÑO],$C$5)</f>
        <v>2000000</v>
      </c>
      <c r="D20" s="36">
        <f>+SUMIFS(CLIENTE[VALOR],CLIENTE[CLIENTE],A20,CLIENTE[AÑO],$D$5)</f>
        <v>0</v>
      </c>
      <c r="E20" s="36">
        <f>+SUMIFS(CLIENTE[VALOR],CLIENTE[CLIENTE],A20,CLIENTE[AÑO],$E$5)</f>
        <v>0</v>
      </c>
      <c r="F20" s="36">
        <f>+SUMIFS(CLIENTE[VALOR],CLIENTE[CLIENTE],A20,CLIENTE[AÑO],$F$5)</f>
        <v>0</v>
      </c>
    </row>
    <row r="21" spans="1:6" x14ac:dyDescent="0.3">
      <c r="A21" s="14" t="str">
        <f>B.D!B19</f>
        <v>CENTRO MEDICO VETERINARIO BELLOS CANES</v>
      </c>
      <c r="B21" s="37">
        <f>+SUMIFS(CLIENTE[VALOR],CLIENTE[CLIENTE],Tabla6[[#This Row],[CLIENTE/AÑO]])</f>
        <v>30000</v>
      </c>
      <c r="C21" s="36">
        <f>+SUMIFS(CLIENTE[VALOR],CLIENTE[CLIENTE],A21,CLIENTE[AÑO],$C$5)</f>
        <v>0</v>
      </c>
      <c r="D21" s="36">
        <f>+SUMIFS(CLIENTE[VALOR],CLIENTE[CLIENTE],A21,CLIENTE[AÑO],$D$5)</f>
        <v>30000</v>
      </c>
      <c r="E21" s="36">
        <f>+SUMIFS(CLIENTE[VALOR],CLIENTE[CLIENTE],A21,CLIENTE[AÑO],$E$5)</f>
        <v>0</v>
      </c>
      <c r="F21" s="36">
        <f>+SUMIFS(CLIENTE[VALOR],CLIENTE[CLIENTE],A21,CLIENTE[AÑO],$F$5)</f>
        <v>0</v>
      </c>
    </row>
    <row r="22" spans="1:6" x14ac:dyDescent="0.3">
      <c r="A22" s="14" t="str">
        <f>B.D!B20</f>
        <v>INGENIERIA EFICIENTE DEL AIRE S.A.S</v>
      </c>
      <c r="B22" s="37">
        <f>+SUMIFS(CLIENTE[VALOR],CLIENTE[CLIENTE],Tabla6[[#This Row],[CLIENTE/AÑO]])</f>
        <v>270000</v>
      </c>
      <c r="D22" s="36">
        <f>+SUMIFS(CLIENTE[VALOR],CLIENTE[CLIENTE],A22,CLIENTE[AÑO],$D$5)</f>
        <v>270000</v>
      </c>
      <c r="E22" s="36">
        <f>+SUMIFS(CLIENTE[VALOR],CLIENTE[CLIENTE],A22,CLIENTE[AÑO],$E$5)</f>
        <v>0</v>
      </c>
      <c r="F22" s="36">
        <f>+SUMIFS(CLIENTE[VALOR],CLIENTE[CLIENTE],A22,CLIENTE[AÑO],$F$5)</f>
        <v>0</v>
      </c>
    </row>
    <row r="23" spans="1:6" x14ac:dyDescent="0.3">
      <c r="A23" s="14" t="str">
        <f>B.D!B21</f>
        <v>ELEVEMOS S.A.S</v>
      </c>
      <c r="B23" s="37">
        <f>+SUMIFS(CLIENTE[VALOR],CLIENTE[CLIENTE],Tabla6[[#This Row],[CLIENTE/AÑO]])</f>
        <v>7628000</v>
      </c>
      <c r="C23" s="36">
        <f>+SUMIFS(CLIENTE[VALOR],CLIENTE[CLIENTE],A23,CLIENTE[AÑO],$C$5)</f>
        <v>0</v>
      </c>
      <c r="D23" s="36">
        <f>+SUMIFS(CLIENTE[VALOR],CLIENTE[CLIENTE],A23,CLIENTE[AÑO],$D$5)</f>
        <v>0</v>
      </c>
      <c r="E23" s="36">
        <f>+SUMIFS(CLIENTE[VALOR],CLIENTE[CLIENTE],A23,CLIENTE[AÑO],$E$5)</f>
        <v>3988000</v>
      </c>
      <c r="F23" s="36">
        <f>+SUMIFS(CLIENTE[VALOR],CLIENTE[CLIENTE],A23,CLIENTE[AÑO],$F$5)</f>
        <v>2760000</v>
      </c>
    </row>
    <row r="24" spans="1:6" x14ac:dyDescent="0.3">
      <c r="A24" s="14" t="str">
        <f>B.D!B22</f>
        <v>PROELECTRA DE COLOMBIA S.A.S</v>
      </c>
      <c r="B24" s="37">
        <f>+SUMIFS(CLIENTE[VALOR],CLIENTE[CLIENTE],Tabla6[[#This Row],[CLIENTE/AÑO]])</f>
        <v>671000</v>
      </c>
      <c r="C24" s="36">
        <f>+SUMIFS(CLIENTE[VALOR],CLIENTE[CLIENTE],A24,CLIENTE[AÑO],$C$5)</f>
        <v>0</v>
      </c>
      <c r="D24" s="36">
        <f>+SUMIFS(CLIENTE[VALOR],CLIENTE[CLIENTE],A24,CLIENTE[AÑO],$D$5)</f>
        <v>0</v>
      </c>
      <c r="E24" s="36">
        <f>+SUMIFS(CLIENTE[VALOR],CLIENTE[CLIENTE],A24,CLIENTE[AÑO],$E$5)</f>
        <v>386000</v>
      </c>
      <c r="F24" s="36">
        <f>+SUMIFS(CLIENTE[VALOR],CLIENTE[CLIENTE],A24,CLIENTE[AÑO],$F$5)</f>
        <v>285000</v>
      </c>
    </row>
    <row r="25" spans="1:6" x14ac:dyDescent="0.3">
      <c r="A25" s="14" t="str">
        <f>B.D!B23</f>
        <v xml:space="preserve">EL CHAQUIRO </v>
      </c>
      <c r="B25" s="37">
        <f>+SUMIFS(CLIENTE[VALOR],CLIENTE[CLIENTE],Tabla6[[#This Row],[CLIENTE/AÑO]])</f>
        <v>520000</v>
      </c>
      <c r="C25" s="36">
        <f>+SUMIFS(CLIENTE[VALOR],CLIENTE[CLIENTE],A25,CLIENTE[AÑO],$C$5)</f>
        <v>0</v>
      </c>
      <c r="D25" s="36">
        <f>+SUMIFS(CLIENTE[VALOR],CLIENTE[CLIENTE],A25,CLIENTE[AÑO],$D$5)</f>
        <v>0</v>
      </c>
      <c r="E25" s="36">
        <f>+SUMIFS(CLIENTE[VALOR],CLIENTE[CLIENTE],A25,CLIENTE[AÑO],$E$5)</f>
        <v>520000</v>
      </c>
      <c r="F25" s="36">
        <f>+SUMIFS(CLIENTE[VALOR],CLIENTE[CLIENTE],A25,CLIENTE[AÑO],$F$5)</f>
        <v>0</v>
      </c>
    </row>
    <row r="26" spans="1:6" x14ac:dyDescent="0.3">
      <c r="A26" s="14" t="str">
        <f>B.D!B24</f>
        <v>URBANIZACION ALTOS DEL POBLADO 1 P.H</v>
      </c>
      <c r="B26" s="37">
        <f>+SUMIFS(CLIENTE[VALOR],CLIENTE[CLIENTE],Tabla6[[#This Row],[CLIENTE/AÑO]])</f>
        <v>550000</v>
      </c>
      <c r="C26" s="36">
        <f>+SUMIFS(CLIENTE[VALOR],CLIENTE[CLIENTE],A26,CLIENTE[AÑO],$C$5)</f>
        <v>0</v>
      </c>
      <c r="D26" s="36">
        <f>+SUMIFS(CLIENTE[VALOR],CLIENTE[CLIENTE],A26,CLIENTE[AÑO],$D$5)</f>
        <v>0</v>
      </c>
      <c r="E26" s="36">
        <f>+SUMIFS(CLIENTE[VALOR],CLIENTE[CLIENTE],A26,CLIENTE[AÑO],$E$5)</f>
        <v>550000</v>
      </c>
      <c r="F26" s="36">
        <f>+SUMIFS(CLIENTE[VALOR],CLIENTE[CLIENTE],A26,CLIENTE[AÑO],$F$5)</f>
        <v>0</v>
      </c>
    </row>
    <row r="27" spans="1:6" x14ac:dyDescent="0.3">
      <c r="A27" s="14" t="str">
        <f>B.D!B25</f>
        <v>EDIFICIO GRAN MEDITERRANEO</v>
      </c>
      <c r="B27" s="37">
        <f>+SUMIFS(CLIENTE[VALOR],CLIENTE[CLIENTE],Tabla6[[#This Row],[CLIENTE/AÑO]])</f>
        <v>360000</v>
      </c>
      <c r="C27" s="36">
        <f>+SUMIFS(CLIENTE[VALOR],CLIENTE[CLIENTE],A27,CLIENTE[AÑO],$C$5)</f>
        <v>0</v>
      </c>
      <c r="D27" s="36">
        <f>+SUMIFS(CLIENTE[VALOR],CLIENTE[CLIENTE],A27,CLIENTE[AÑO],$D$5)</f>
        <v>0</v>
      </c>
      <c r="E27" s="36">
        <f>+SUMIFS(CLIENTE[VALOR],CLIENTE[CLIENTE],A27,CLIENTE[AÑO],$E$5)</f>
        <v>300000</v>
      </c>
      <c r="F27" s="36">
        <f>+SUMIFS(CLIENTE[VALOR],CLIENTE[CLIENTE],A27,CLIENTE[AÑO],$F$5)</f>
        <v>60000</v>
      </c>
    </row>
    <row r="28" spans="1:6" x14ac:dyDescent="0.3">
      <c r="A28" s="14" t="str">
        <f>B.D!B26</f>
        <v>TRANSPORTE Y TURISMO 1A S.A.S</v>
      </c>
      <c r="B28" s="37">
        <f>+SUMIFS(CLIENTE[VALOR],CLIENTE[CLIENTE],Tabla6[[#This Row],[CLIENTE/AÑO]])</f>
        <v>396000</v>
      </c>
      <c r="C28" s="36">
        <f>+SUMIFS(CLIENTE[VALOR],CLIENTE[CLIENTE],A28,CLIENTE[AÑO],$C$5)</f>
        <v>0</v>
      </c>
      <c r="D28" s="36">
        <f>+SUMIFS(CLIENTE[VALOR],CLIENTE[CLIENTE],A28,CLIENTE[AÑO],$D$5)</f>
        <v>0</v>
      </c>
      <c r="E28" s="36">
        <f>+SUMIFS(CLIENTE[VALOR],CLIENTE[CLIENTE],A28,CLIENTE[AÑO],$E$5)</f>
        <v>396000</v>
      </c>
      <c r="F28" s="36">
        <f>+SUMIFS(CLIENTE[VALOR],CLIENTE[CLIENTE],A28,CLIENTE[AÑO],$F$5)</f>
        <v>0</v>
      </c>
    </row>
    <row r="29" spans="1:6" x14ac:dyDescent="0.3">
      <c r="A29" s="14" t="str">
        <f>B.D!B27</f>
        <v>CONJUNTO RESIDENCIAL PALOS DE MOGUER</v>
      </c>
      <c r="B29" s="37">
        <f>+SUMIFS(CLIENTE[VALOR],CLIENTE[CLIENTE],Tabla6[[#This Row],[CLIENTE/AÑO]])</f>
        <v>720000</v>
      </c>
      <c r="C29" s="36">
        <f>+SUMIFS(CLIENTE[VALOR],CLIENTE[CLIENTE],A29,CLIENTE[AÑO],$C$5)</f>
        <v>0</v>
      </c>
      <c r="D29" s="36">
        <f>+SUMIFS(CLIENTE[VALOR],CLIENTE[CLIENTE],A29,CLIENTE[AÑO],$D$5)</f>
        <v>0</v>
      </c>
      <c r="E29" s="36">
        <f>+SUMIFS(CLIENTE[VALOR],CLIENTE[CLIENTE],A29,CLIENTE[AÑO],$E$5)</f>
        <v>720000</v>
      </c>
      <c r="F29" s="36">
        <f>+SUMIFS(CLIENTE[VALOR],CLIENTE[CLIENTE],A29,CLIENTE[AÑO],$F$5)</f>
        <v>0</v>
      </c>
    </row>
    <row r="30" spans="1:6" x14ac:dyDescent="0.3">
      <c r="A30" s="14" t="str">
        <f>B.D!B28</f>
        <v>IMPERIAL ELEVADORES S.A.S</v>
      </c>
      <c r="B30" s="37">
        <f>+SUMIFS(CLIENTE[VALOR],CLIENTE[CLIENTE],Tabla6[[#This Row],[CLIENTE/AÑO]])</f>
        <v>2060000</v>
      </c>
      <c r="C30" s="36">
        <f>+SUMIFS(CLIENTE[VALOR],CLIENTE[CLIENTE],A30,CLIENTE[AÑO],$C$5)</f>
        <v>0</v>
      </c>
      <c r="D30" s="36">
        <f>+SUMIFS(CLIENTE[VALOR],CLIENTE[CLIENTE],A30,CLIENTE[AÑO],$D$5)</f>
        <v>0</v>
      </c>
      <c r="E30" s="36">
        <f>+SUMIFS(CLIENTE[VALOR],CLIENTE[CLIENTE],A30,CLIENTE[AÑO],$E$5)</f>
        <v>0</v>
      </c>
      <c r="F30" s="36">
        <f>+SUMIFS(CLIENTE[VALOR],CLIENTE[CLIENTE],A30,CLIENTE[AÑO],$F$5)</f>
        <v>2060000</v>
      </c>
    </row>
    <row r="31" spans="1:6" x14ac:dyDescent="0.3">
      <c r="A31" s="14" t="str">
        <f>B.D!B29</f>
        <v>URBANIZACION VILLAS DE SAN JOSE</v>
      </c>
      <c r="B31" s="37">
        <f>+SUMIFS(CLIENTE[VALOR],CLIENTE[CLIENTE],Tabla6[[#This Row],[CLIENTE/AÑO]])</f>
        <v>940000</v>
      </c>
      <c r="C31" s="36">
        <f>+SUMIFS(CLIENTE[VALOR],CLIENTE[CLIENTE],A31,CLIENTE[AÑO],$C$5)</f>
        <v>0</v>
      </c>
      <c r="D31" s="36">
        <f>+SUMIFS(CLIENTE[VALOR],CLIENTE[CLIENTE],A31,CLIENTE[AÑO],$D$5)</f>
        <v>0</v>
      </c>
      <c r="E31" s="36">
        <f>+SUMIFS(CLIENTE[VALOR],CLIENTE[CLIENTE],A31,CLIENTE[AÑO],$E$5)</f>
        <v>0</v>
      </c>
      <c r="F31" s="36">
        <f>+SUMIFS(CLIENTE[VALOR],CLIENTE[CLIENTE],A31,CLIENTE[AÑO],$F$5)</f>
        <v>940000</v>
      </c>
    </row>
    <row r="32" spans="1:6" x14ac:dyDescent="0.3">
      <c r="A32" s="14" t="str">
        <f>B.D!B30</f>
        <v>FULL ZONE S.A.S</v>
      </c>
      <c r="B32" s="37">
        <f>+SUMIFS(CLIENTE[VALOR],CLIENTE[CLIENTE],Tabla6[[#This Row],[CLIENTE/AÑO]])</f>
        <v>11000000</v>
      </c>
      <c r="C32" s="36">
        <f>+SUMIFS(CLIENTE[VALOR],CLIENTE[CLIENTE],A32,CLIENTE[AÑO],$C$5)</f>
        <v>0</v>
      </c>
      <c r="D32" s="36">
        <f>+SUMIFS(CLIENTE[VALOR],CLIENTE[CLIENTE],A32,CLIENTE[AÑO],$D$5)</f>
        <v>0</v>
      </c>
      <c r="E32" s="36">
        <f>+SUMIFS(CLIENTE[VALOR],CLIENTE[CLIENTE],A32,CLIENTE[AÑO],$E$5)</f>
        <v>0</v>
      </c>
      <c r="F32" s="36">
        <f>+SUMIFS(CLIENTE[VALOR],CLIENTE[CLIENTE],A32,CLIENTE[AÑO],$F$5)</f>
        <v>11000000</v>
      </c>
    </row>
    <row r="33" spans="1:6" x14ac:dyDescent="0.3">
      <c r="A33" s="14" t="str">
        <f>B.D!B31</f>
        <v>EDIFICIO BASILEA</v>
      </c>
      <c r="B33" s="37">
        <f>+SUMIFS(CLIENTE[VALOR],CLIENTE[CLIENTE],Tabla6[[#This Row],[CLIENTE/AÑO]])</f>
        <v>600000</v>
      </c>
      <c r="C33" s="36">
        <f>+SUMIFS(CLIENTE[VALOR],CLIENTE[CLIENTE],A33,CLIENTE[AÑO],$C$5)</f>
        <v>0</v>
      </c>
      <c r="D33" s="67">
        <f>+SUMIFS(CLIENTE[VALOR],CLIENTE[CLIENTE],A33,CLIENTE[AÑO],$D$5)</f>
        <v>0</v>
      </c>
      <c r="E33" s="67">
        <f>+SUMIFS(CLIENTE[VALOR],CLIENTE[CLIENTE],A33,CLIENTE[AÑO],$E$5)</f>
        <v>0</v>
      </c>
      <c r="F33" s="67">
        <f>+SUMIFS(CLIENTE[VALOR],CLIENTE[CLIENTE],A33,CLIENTE[AÑO],$F$5)</f>
        <v>600000</v>
      </c>
    </row>
    <row r="34" spans="1:6" x14ac:dyDescent="0.3">
      <c r="A34" s="14" t="str">
        <f>B.D!B32</f>
        <v>C.R TORRES DEL CASTILLO</v>
      </c>
      <c r="B34" s="37">
        <f>+SUMIFS(CLIENTE[VALOR],CLIENTE[CLIENTE],Tabla6[[#This Row],[CLIENTE/AÑO]])</f>
        <v>500000</v>
      </c>
      <c r="C34" s="36">
        <f>+SUMIFS(CLIENTE[VALOR],CLIENTE[CLIENTE],A34,CLIENTE[AÑO],$C$5)</f>
        <v>0</v>
      </c>
      <c r="D34" s="67">
        <f>+SUMIFS(CLIENTE[VALOR],CLIENTE[CLIENTE],A34,CLIENTE[AÑO],$D$5)</f>
        <v>0</v>
      </c>
      <c r="E34" s="67">
        <f>+SUMIFS(CLIENTE[VALOR],CLIENTE[CLIENTE],A34,CLIENTE[AÑO],$E$5)</f>
        <v>0</v>
      </c>
      <c r="F34" s="67">
        <f>+SUMIFS(CLIENTE[VALOR],CLIENTE[CLIENTE],A34,CLIENTE[AÑO],$F$5)</f>
        <v>500000</v>
      </c>
    </row>
    <row r="35" spans="1:6" x14ac:dyDescent="0.3">
      <c r="A35" s="14" t="str">
        <f>B.D!B33</f>
        <v>EDIFICIO CHAPELET P.H</v>
      </c>
      <c r="B35" s="37">
        <f>+SUMIFS(CLIENTE[VALOR],CLIENTE[CLIENTE],Tabla6[[#This Row],[CLIENTE/AÑO]])</f>
        <v>230000</v>
      </c>
      <c r="C35" s="36">
        <f>+SUMIFS(CLIENTE[VALOR],CLIENTE[CLIENTE],A35,CLIENTE[AÑO],$C$5)</f>
        <v>0</v>
      </c>
      <c r="D35" s="67">
        <f>+SUMIFS(CLIENTE[VALOR],CLIENTE[CLIENTE],A35,CLIENTE[AÑO],$D$5)</f>
        <v>0</v>
      </c>
      <c r="E35" s="67">
        <f>+SUMIFS(CLIENTE[VALOR],CLIENTE[CLIENTE],A35,CLIENTE[AÑO],$E$5)</f>
        <v>0</v>
      </c>
      <c r="F35" s="67">
        <f>+SUMIFS(CLIENTE[VALOR],CLIENTE[CLIENTE],A35,CLIENTE[AÑO],$F$5)</f>
        <v>230000</v>
      </c>
    </row>
    <row r="36" spans="1:6" x14ac:dyDescent="0.3">
      <c r="A36" s="14" t="str">
        <f>B.D!B34</f>
        <v>URBANIZACION PENINSULA CONDOMINIO P.H</v>
      </c>
      <c r="B36" s="37">
        <f>+SUMIFS(CLIENTE[VALOR],CLIENTE[CLIENTE],Tabla6[[#This Row],[CLIENTE/AÑO]])</f>
        <v>2610000</v>
      </c>
      <c r="C36" s="36">
        <f>+SUMIFS(CLIENTE[VALOR],CLIENTE[CLIENTE],A36,CLIENTE[AÑO],$C$5)</f>
        <v>0</v>
      </c>
      <c r="D36" s="67">
        <f>+SUMIFS(CLIENTE[VALOR],CLIENTE[CLIENTE],A36,CLIENTE[AÑO],$D$5)</f>
        <v>0</v>
      </c>
      <c r="E36" s="67">
        <f>+SUMIFS(CLIENTE[VALOR],CLIENTE[CLIENTE],A36,CLIENTE[AÑO],$E$5)</f>
        <v>0</v>
      </c>
      <c r="F36" s="67">
        <f>+SUMIFS(CLIENTE[VALOR],CLIENTE[CLIENTE],A36,CLIENTE[AÑO],$F$5)</f>
        <v>2610000</v>
      </c>
    </row>
    <row r="37" spans="1:6" x14ac:dyDescent="0.3">
      <c r="A37" s="14" t="str">
        <f>B.D!B35</f>
        <v>CONJUNTO MULTIFAMILIAR PRADO DE VILLANUEVA</v>
      </c>
      <c r="B37" s="37">
        <f>+SUMIFS(CLIENTE[VALOR],CLIENTE[CLIENTE],Tabla6[[#This Row],[CLIENTE/AÑO]])</f>
        <v>980000</v>
      </c>
      <c r="C37" s="36">
        <f>+SUMIFS(CLIENTE[VALOR],CLIENTE[CLIENTE],A37,CLIENTE[AÑO],$C$5)</f>
        <v>0</v>
      </c>
      <c r="D37" s="67">
        <f>+SUMIFS(CLIENTE[VALOR],CLIENTE[CLIENTE],A37,CLIENTE[AÑO],$D$5)</f>
        <v>0</v>
      </c>
      <c r="E37" s="67">
        <f>+SUMIFS(CLIENTE[VALOR],CLIENTE[CLIENTE],A37,CLIENTE[AÑO],$E$5)</f>
        <v>0</v>
      </c>
      <c r="F37" s="67">
        <f>+SUMIFS(CLIENTE[VALOR],CLIENTE[CLIENTE],A37,CLIENTE[AÑO],$F$5)</f>
        <v>980000</v>
      </c>
    </row>
    <row r="38" spans="1:6" x14ac:dyDescent="0.3">
      <c r="A38" s="14" t="str">
        <f>B.D!B36</f>
        <v>EDIFICIO SHINGALE P.H</v>
      </c>
      <c r="B38" s="37">
        <f>+SUMIFS(CLIENTE[VALOR],CLIENTE[CLIENTE],Tabla6[[#This Row],[CLIENTE/AÑO]])</f>
        <v>980000</v>
      </c>
      <c r="C38" s="36">
        <f>+SUMIFS(CLIENTE[VALOR],CLIENTE[CLIENTE],A38,CLIENTE[AÑO],$C$5)</f>
        <v>0</v>
      </c>
      <c r="D38" s="67">
        <f>+SUMIFS(CLIENTE[VALOR],CLIENTE[CLIENTE],A38,CLIENTE[AÑO],$D$5)</f>
        <v>0</v>
      </c>
      <c r="E38" s="67">
        <f>+SUMIFS(CLIENTE[VALOR],CLIENTE[CLIENTE],A38,CLIENTE[AÑO],$E$5)</f>
        <v>0</v>
      </c>
      <c r="F38" s="67">
        <f>+SUMIFS(CLIENTE[VALOR],CLIENTE[CLIENTE],A38,CLIENTE[AÑO],$F$5)</f>
        <v>980000</v>
      </c>
    </row>
    <row r="39" spans="1:6" x14ac:dyDescent="0.3">
      <c r="A39" s="14" t="str">
        <f>B.D!B37</f>
        <v>CENTRO COMERCIAL LOS MARINILLOS PH</v>
      </c>
      <c r="B39" s="37">
        <f>+SUMIFS(CLIENTE[VALOR],CLIENTE[CLIENTE],Tabla6[[#This Row],[CLIENTE/AÑO]])</f>
        <v>1200000</v>
      </c>
      <c r="C39" s="36">
        <f>+SUMIFS(CLIENTE[VALOR],CLIENTE[CLIENTE],A39,CLIENTE[AÑO],$C$5)</f>
        <v>0</v>
      </c>
      <c r="D39" s="67">
        <f>+SUMIFS(CLIENTE[VALOR],CLIENTE[CLIENTE],A39,CLIENTE[AÑO],$D$5)</f>
        <v>0</v>
      </c>
      <c r="E39" s="67">
        <f>+SUMIFS(CLIENTE[VALOR],CLIENTE[CLIENTE],A39,CLIENTE[AÑO],$E$5)</f>
        <v>0</v>
      </c>
      <c r="F39" s="67">
        <f>+SUMIFS(CLIENTE[VALOR],CLIENTE[CLIENTE],A39,CLIENTE[AÑO],$F$5)</f>
        <v>1200000</v>
      </c>
    </row>
    <row r="40" spans="1:6" x14ac:dyDescent="0.3">
      <c r="A40" s="14" t="str">
        <f>B.D!B38</f>
        <v>ELEVADORES TECNIVEC S.A.S</v>
      </c>
      <c r="B40" s="37">
        <f>+SUMIFS(CLIENTE[VALOR],CLIENTE[CLIENTE],Tabla6[[#This Row],[CLIENTE/AÑO]])</f>
        <v>590000</v>
      </c>
      <c r="C40" s="36">
        <f>+SUMIFS(CLIENTE[VALOR],CLIENTE[CLIENTE],A40,CLIENTE[AÑO],$C$5)</f>
        <v>0</v>
      </c>
      <c r="D40" s="67">
        <f>+SUMIFS(CLIENTE[VALOR],CLIENTE[CLIENTE],A40,CLIENTE[AÑO],$D$5)</f>
        <v>0</v>
      </c>
      <c r="E40" s="67">
        <f>+SUMIFS(CLIENTE[VALOR],CLIENTE[CLIENTE],A40,CLIENTE[AÑO],$E$5)</f>
        <v>0</v>
      </c>
      <c r="F40" s="67">
        <f>+SUMIFS(CLIENTE[VALOR],CLIENTE[CLIENTE],A40,CLIENTE[AÑO],$F$5)</f>
        <v>590000</v>
      </c>
    </row>
    <row r="41" spans="1:6" x14ac:dyDescent="0.3">
      <c r="A41" s="14" t="str">
        <f>B.D!B39</f>
        <v xml:space="preserve">AMERICANA DE ELEVADORES </v>
      </c>
      <c r="B41" s="37">
        <f>+SUMIFS(CLIENTE[VALOR],CLIENTE[CLIENTE],Tabla6[[#This Row],[CLIENTE/AÑO]])</f>
        <v>580000</v>
      </c>
      <c r="C41" s="36">
        <f>+SUMIFS(CLIENTE[VALOR],CLIENTE[CLIENTE],A41,CLIENTE[AÑO],$C$5)</f>
        <v>0</v>
      </c>
      <c r="D41" s="67">
        <f>+SUMIFS(CLIENTE[VALOR],CLIENTE[CLIENTE],A41,CLIENTE[AÑO],$D$5)</f>
        <v>0</v>
      </c>
      <c r="E41" s="67">
        <f>+SUMIFS(CLIENTE[VALOR],CLIENTE[CLIENTE],A41,CLIENTE[AÑO],$E$5)</f>
        <v>0</v>
      </c>
      <c r="F41" s="67">
        <f>+SUMIFS(CLIENTE[VALOR],CLIENTE[CLIENTE],A41,CLIENTE[AÑO],$F$5)</f>
        <v>580000</v>
      </c>
    </row>
    <row r="42" spans="1:6" x14ac:dyDescent="0.3">
      <c r="A42" s="14" t="str">
        <f>B.D!B40</f>
        <v>EDIFICIO CATANIA</v>
      </c>
      <c r="B42" s="37">
        <f>+SUMIFS(CLIENTE[VALOR],CLIENTE[CLIENTE],Tabla6[[#This Row],[CLIENTE/AÑO]])</f>
        <v>610000</v>
      </c>
      <c r="C42" s="36">
        <f>+SUMIFS(CLIENTE[VALOR],CLIENTE[CLIENTE],A42,CLIENTE[AÑO],$C$5)</f>
        <v>0</v>
      </c>
      <c r="D42" s="67">
        <f>+SUMIFS(CLIENTE[VALOR],CLIENTE[CLIENTE],A42,CLIENTE[AÑO],$D$5)</f>
        <v>0</v>
      </c>
      <c r="E42" s="67">
        <f>+SUMIFS(CLIENTE[VALOR],CLIENTE[CLIENTE],A42,CLIENTE[AÑO],$E$5)</f>
        <v>0</v>
      </c>
      <c r="F42" s="67">
        <f>+SUMIFS(CLIENTE[VALOR],CLIENTE[CLIENTE],A42,CLIENTE[AÑO],$F$5)</f>
        <v>610000</v>
      </c>
    </row>
    <row r="43" spans="1:6" x14ac:dyDescent="0.3">
      <c r="A43" s="14" t="str">
        <f>B.D!B41</f>
        <v>TRANSPORTES ESPECIALES A&amp;S S.A.S</v>
      </c>
      <c r="B43" s="37">
        <f>+SUMIFS(CLIENTE[VALOR],CLIENTE[CLIENTE],Tabla6[[#This Row],[CLIENTE/AÑO]])</f>
        <v>1500000</v>
      </c>
      <c r="C43" s="36">
        <f>+SUMIFS(CLIENTE[VALOR],CLIENTE[CLIENTE],A43,CLIENTE[AÑO],$C$5)</f>
        <v>0</v>
      </c>
      <c r="D43" s="67">
        <f>+SUMIFS(CLIENTE[VALOR],CLIENTE[CLIENTE],A43,CLIENTE[AÑO],$D$5)</f>
        <v>0</v>
      </c>
      <c r="E43" s="67">
        <f>+SUMIFS(CLIENTE[VALOR],CLIENTE[CLIENTE],A43,CLIENTE[AÑO],$E$5)</f>
        <v>0</v>
      </c>
      <c r="F43" s="67">
        <f>+SUMIFS(CLIENTE[VALOR],CLIENTE[CLIENTE],A43,CLIENTE[AÑO],$F$5)</f>
        <v>0</v>
      </c>
    </row>
    <row r="44" spans="1:6" x14ac:dyDescent="0.3">
      <c r="A44" s="14" t="str">
        <f>B.D!B42</f>
        <v>OMC INGENIERIA S.A.S</v>
      </c>
      <c r="B44" s="37">
        <f>+SUMIFS(CLIENTE[VALOR],CLIENTE[CLIENTE],Tabla6[[#This Row],[CLIENTE/AÑO]])</f>
        <v>700000</v>
      </c>
      <c r="C44" s="36">
        <f>+SUMIFS(CLIENTE[VALOR],CLIENTE[CLIENTE],A44,CLIENTE[AÑO],$C$5)</f>
        <v>0</v>
      </c>
      <c r="D44" s="67">
        <f>+SUMIFS(CLIENTE[VALOR],CLIENTE[CLIENTE],A44,CLIENTE[AÑO],$D$5)</f>
        <v>0</v>
      </c>
      <c r="E44" s="67">
        <f>+SUMIFS(CLIENTE[VALOR],CLIENTE[CLIENTE],A44,CLIENTE[AÑO],$E$5)</f>
        <v>0</v>
      </c>
      <c r="F44" s="67">
        <f>+SUMIFS(CLIENTE[VALOR],CLIENTE[CLIENTE],A44,CLIENTE[AÑO],$F$5)</f>
        <v>0</v>
      </c>
    </row>
    <row r="45" spans="1:6" x14ac:dyDescent="0.3">
      <c r="A45" s="14">
        <f>B.D!B43</f>
        <v>0</v>
      </c>
      <c r="B45" s="37">
        <f>+SUMIFS(CLIENTE[VALOR],CLIENTE[CLIENTE],Tabla6[[#This Row],[CLIENTE/AÑO]])</f>
        <v>0</v>
      </c>
      <c r="C45" s="36">
        <f>+SUMIFS(CLIENTE[VALOR],CLIENTE[CLIENTE],A45,CLIENTE[AÑO],$C$5)</f>
        <v>0</v>
      </c>
      <c r="D45" s="67">
        <f>+SUMIFS(CLIENTE[VALOR],CLIENTE[CLIENTE],A45,CLIENTE[AÑO],$D$5)</f>
        <v>0</v>
      </c>
      <c r="E45" s="67">
        <f>+SUMIFS(CLIENTE[VALOR],CLIENTE[CLIENTE],A45,CLIENTE[AÑO],$E$5)</f>
        <v>0</v>
      </c>
      <c r="F45" s="67">
        <f>+SUMIFS(CLIENTE[VALOR],CLIENTE[CLIENTE],A45,CLIENTE[AÑO],$F$5)</f>
        <v>0</v>
      </c>
    </row>
    <row r="46" spans="1:6" x14ac:dyDescent="0.3">
      <c r="A46" s="14">
        <f>B.D!B44</f>
        <v>0</v>
      </c>
      <c r="B46" s="37">
        <f>+SUMIFS(CLIENTE[VALOR],CLIENTE[CLIENTE],Tabla6[[#This Row],[CLIENTE/AÑO]])</f>
        <v>0</v>
      </c>
      <c r="C46" s="36">
        <f>+SUMIFS(CLIENTE[VALOR],CLIENTE[CLIENTE],A46,CLIENTE[AÑO],$C$5)</f>
        <v>0</v>
      </c>
      <c r="D46" s="67">
        <f>+SUMIFS(CLIENTE[VALOR],CLIENTE[CLIENTE],A46,CLIENTE[AÑO],$D$5)</f>
        <v>0</v>
      </c>
      <c r="E46" s="67">
        <f>+SUMIFS(CLIENTE[VALOR],CLIENTE[CLIENTE],A46,CLIENTE[AÑO],$E$5)</f>
        <v>0</v>
      </c>
      <c r="F46" s="67">
        <f>+SUMIFS(CLIENTE[VALOR],CLIENTE[CLIENTE],A46,CLIENTE[AÑO],$F$5)</f>
        <v>0</v>
      </c>
    </row>
    <row r="47" spans="1:6" x14ac:dyDescent="0.3">
      <c r="A47" s="14">
        <f>B.D!B45</f>
        <v>0</v>
      </c>
      <c r="B47" s="37">
        <f>+SUMIFS(CLIENTE[VALOR],CLIENTE[CLIENTE],Tabla6[[#This Row],[CLIENTE/AÑO]])</f>
        <v>0</v>
      </c>
      <c r="C47" s="36">
        <f>+SUMIFS(CLIENTE[VALOR],CLIENTE[CLIENTE],A47,CLIENTE[AÑO],$C$5)</f>
        <v>0</v>
      </c>
      <c r="D47" s="67">
        <f>+SUMIFS(CLIENTE[VALOR],CLIENTE[CLIENTE],A47,CLIENTE[AÑO],$D$5)</f>
        <v>0</v>
      </c>
      <c r="E47" s="67">
        <f>+SUMIFS(CLIENTE[VALOR],CLIENTE[CLIENTE],A47,CLIENTE[AÑO],$E$5)</f>
        <v>0</v>
      </c>
      <c r="F47" s="67">
        <f>+SUMIFS(CLIENTE[VALOR],CLIENTE[CLIENTE],A47,CLIENTE[AÑO],$F$5)</f>
        <v>0</v>
      </c>
    </row>
  </sheetData>
  <mergeCells count="2">
    <mergeCell ref="A2:F2"/>
    <mergeCell ref="A3:F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8"/>
  <sheetViews>
    <sheetView topLeftCell="A57" workbookViewId="0">
      <selection activeCell="E81" sqref="E81"/>
    </sheetView>
  </sheetViews>
  <sheetFormatPr baseColWidth="10" defaultColWidth="11.44140625" defaultRowHeight="12" x14ac:dyDescent="0.25"/>
  <cols>
    <col min="1" max="1" width="9.33203125" style="1" bestFit="1" customWidth="1"/>
    <col min="2" max="3" width="9.33203125" style="1" customWidth="1"/>
    <col min="4" max="4" width="9.88671875" style="1" customWidth="1"/>
    <col min="5" max="5" width="27.6640625" style="1" bestFit="1" customWidth="1"/>
    <col min="6" max="6" width="11.88671875" style="1" customWidth="1"/>
    <col min="7" max="7" width="10.44140625" style="1" bestFit="1" customWidth="1"/>
    <col min="8" max="8" width="9.88671875" style="1" bestFit="1" customWidth="1"/>
    <col min="9" max="9" width="10.109375" style="1" bestFit="1" customWidth="1"/>
    <col min="10" max="10" width="25.109375" style="1" bestFit="1" customWidth="1"/>
    <col min="11" max="13" width="11.44140625" style="1"/>
    <col min="14" max="14" width="15.88671875" style="1" bestFit="1" customWidth="1"/>
    <col min="15" max="16384" width="11.44140625" style="1"/>
  </cols>
  <sheetData>
    <row r="1" spans="1:15" x14ac:dyDescent="0.2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N1" s="2" t="s">
        <v>1</v>
      </c>
      <c r="O1" s="3">
        <f>+SUM(I4:I500)</f>
        <v>6037752.6911999993</v>
      </c>
    </row>
    <row r="2" spans="1:15" x14ac:dyDescent="0.25">
      <c r="A2" s="81">
        <v>2018</v>
      </c>
      <c r="B2" s="81"/>
      <c r="C2" s="81"/>
      <c r="D2" s="81"/>
      <c r="E2" s="81"/>
      <c r="F2" s="81"/>
      <c r="G2" s="81"/>
      <c r="H2" s="81"/>
      <c r="I2" s="81"/>
      <c r="J2" s="81"/>
      <c r="N2" s="4" t="s">
        <v>2</v>
      </c>
      <c r="O2" s="5">
        <f>+SUM(H4:H500)</f>
        <v>866277.20299999986</v>
      </c>
    </row>
    <row r="3" spans="1:15" x14ac:dyDescent="0.25">
      <c r="A3" s="6" t="s">
        <v>3</v>
      </c>
      <c r="B3" s="6" t="s">
        <v>201</v>
      </c>
      <c r="C3" s="6" t="s">
        <v>202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</row>
    <row r="4" spans="1:15" x14ac:dyDescent="0.25">
      <c r="A4" s="7">
        <v>43146</v>
      </c>
      <c r="B4" s="7" t="str">
        <f>+TEXT(Tabla1[[#This Row],[FECHA]],"MMMM")</f>
        <v>febrero</v>
      </c>
      <c r="C4" s="7" t="str">
        <f>+TEXT(Tabla1[[#This Row],[FECHA]],"AAAA")</f>
        <v>jueves</v>
      </c>
      <c r="D4" s="1">
        <v>16388</v>
      </c>
      <c r="E4" s="1" t="s">
        <v>11</v>
      </c>
      <c r="F4" s="1" t="str">
        <f>+VLOOKUP(Tabla1[[#This Row],[PROVEEDOR]],Tabla7[],2,FALSE)</f>
        <v>890.923.680-0</v>
      </c>
      <c r="G4" s="9">
        <v>268908</v>
      </c>
      <c r="H4" s="9">
        <f t="shared" ref="H4:H25" si="0">+G4*19%</f>
        <v>51092.520000000004</v>
      </c>
      <c r="I4" s="9">
        <f t="shared" ref="I4:I13" si="1">+G4+H4</f>
        <v>320000.52</v>
      </c>
      <c r="J4" s="1" t="s">
        <v>13</v>
      </c>
    </row>
    <row r="5" spans="1:15" x14ac:dyDescent="0.25">
      <c r="A5" s="7">
        <v>43210</v>
      </c>
      <c r="B5" s="7" t="str">
        <f>+TEXT(Tabla1[[#This Row],[FECHA]],"MMMM")</f>
        <v>abril</v>
      </c>
      <c r="C5" s="7" t="str">
        <f>+TEXT(Tabla1[[#This Row],[FECHA]],"AAAA")</f>
        <v>viernes</v>
      </c>
      <c r="D5" s="1">
        <v>264168</v>
      </c>
      <c r="E5" s="1" t="s">
        <v>14</v>
      </c>
      <c r="F5" s="1" t="str">
        <f>+VLOOKUP(Tabla1[[#This Row],[PROVEEDOR]],Tabla7[],2,FALSE)</f>
        <v>42.765.696-1</v>
      </c>
      <c r="G5" s="9">
        <v>8403.36</v>
      </c>
      <c r="H5" s="9">
        <f t="shared" si="0"/>
        <v>1596.6384</v>
      </c>
      <c r="I5" s="9">
        <f t="shared" si="1"/>
        <v>9999.9984000000004</v>
      </c>
      <c r="J5" s="1" t="s">
        <v>16</v>
      </c>
    </row>
    <row r="6" spans="1:15" x14ac:dyDescent="0.25">
      <c r="A6" s="7">
        <v>43214</v>
      </c>
      <c r="B6" s="7" t="str">
        <f>+TEXT(Tabla1[[#This Row],[FECHA]],"MMMM")</f>
        <v>abril</v>
      </c>
      <c r="C6" s="7" t="str">
        <f>+TEXT(Tabla1[[#This Row],[FECHA]],"AAAA")</f>
        <v>martes</v>
      </c>
      <c r="D6" s="1">
        <v>264603</v>
      </c>
      <c r="E6" s="1" t="s">
        <v>14</v>
      </c>
      <c r="F6" s="1" t="str">
        <f>+VLOOKUP(Tabla1[[#This Row],[PROVEEDOR]],Tabla7[],2,FALSE)</f>
        <v>42.765.696-1</v>
      </c>
      <c r="G6" s="9">
        <v>3361.34</v>
      </c>
      <c r="H6" s="9">
        <f t="shared" si="0"/>
        <v>638.65460000000007</v>
      </c>
      <c r="I6" s="9">
        <f t="shared" si="1"/>
        <v>3999.9946</v>
      </c>
      <c r="J6" s="1" t="s">
        <v>17</v>
      </c>
    </row>
    <row r="7" spans="1:15" x14ac:dyDescent="0.25">
      <c r="A7" s="7">
        <v>43215</v>
      </c>
      <c r="B7" s="7" t="str">
        <f>+TEXT(Tabla1[[#This Row],[FECHA]],"MMMM")</f>
        <v>abril</v>
      </c>
      <c r="C7" s="7" t="str">
        <f>+TEXT(Tabla1[[#This Row],[FECHA]],"AAAA")</f>
        <v>miércoles</v>
      </c>
      <c r="D7" s="1">
        <v>20227</v>
      </c>
      <c r="E7" s="1" t="s">
        <v>18</v>
      </c>
      <c r="F7" s="1" t="str">
        <f>+VLOOKUP(Tabla1[[#This Row],[PROVEEDOR]],Tabla7[],2,FALSE)</f>
        <v>900.113.676-9</v>
      </c>
      <c r="G7" s="9">
        <v>42016.9</v>
      </c>
      <c r="H7" s="9">
        <f t="shared" si="0"/>
        <v>7983.2110000000002</v>
      </c>
      <c r="I7" s="9">
        <f t="shared" si="1"/>
        <v>50000.111000000004</v>
      </c>
      <c r="J7" s="1" t="s">
        <v>20</v>
      </c>
    </row>
    <row r="8" spans="1:15" x14ac:dyDescent="0.25">
      <c r="A8" s="7">
        <v>43229</v>
      </c>
      <c r="B8" s="7" t="str">
        <f>+TEXT(Tabla1[[#This Row],[FECHA]],"MMMM")</f>
        <v>mayo</v>
      </c>
      <c r="C8" s="7" t="str">
        <f>+TEXT(Tabla1[[#This Row],[FECHA]],"AAAA")</f>
        <v>miércoles</v>
      </c>
      <c r="D8" s="1">
        <v>77085</v>
      </c>
      <c r="E8" s="1" t="s">
        <v>21</v>
      </c>
      <c r="F8" s="1" t="str">
        <f>+VLOOKUP(Tabla1[[#This Row],[PROVEEDOR]],Tabla7[],2,FALSE)</f>
        <v>890.928.831-7</v>
      </c>
      <c r="G8" s="9">
        <v>23529</v>
      </c>
      <c r="H8" s="9">
        <f t="shared" si="0"/>
        <v>4470.51</v>
      </c>
      <c r="I8" s="9">
        <f t="shared" si="1"/>
        <v>27999.510000000002</v>
      </c>
      <c r="J8" s="1" t="s">
        <v>23</v>
      </c>
    </row>
    <row r="9" spans="1:15" x14ac:dyDescent="0.25">
      <c r="A9" s="7">
        <v>43238</v>
      </c>
      <c r="B9" s="7" t="str">
        <f>+TEXT(Tabla1[[#This Row],[FECHA]],"MMMM")</f>
        <v>mayo</v>
      </c>
      <c r="C9" s="7" t="str">
        <f>+TEXT(Tabla1[[#This Row],[FECHA]],"AAAA")</f>
        <v>viernes</v>
      </c>
      <c r="D9" s="1">
        <v>890069</v>
      </c>
      <c r="E9" s="1" t="s">
        <v>24</v>
      </c>
      <c r="F9" s="1" t="str">
        <f>+VLOOKUP(Tabla1[[#This Row],[PROVEEDOR]],Tabla7[],2,FALSE)</f>
        <v>900.155.107-1</v>
      </c>
      <c r="G9" s="9">
        <v>18441</v>
      </c>
      <c r="H9" s="9">
        <f t="shared" si="0"/>
        <v>3503.79</v>
      </c>
      <c r="I9" s="9">
        <f t="shared" si="1"/>
        <v>21944.79</v>
      </c>
      <c r="J9" s="1" t="s">
        <v>26</v>
      </c>
    </row>
    <row r="10" spans="1:15" x14ac:dyDescent="0.25">
      <c r="A10" s="7">
        <v>43241</v>
      </c>
      <c r="B10" s="7" t="str">
        <f>+TEXT(Tabla1[[#This Row],[FECHA]],"MMMM")</f>
        <v>mayo</v>
      </c>
      <c r="C10" s="7" t="str">
        <f>+TEXT(Tabla1[[#This Row],[FECHA]],"AAAA")</f>
        <v>lunes</v>
      </c>
      <c r="D10" s="1">
        <v>1383</v>
      </c>
      <c r="E10" s="1" t="s">
        <v>229</v>
      </c>
      <c r="F10" s="1" t="str">
        <f>+VLOOKUP(Tabla1[[#This Row],[PROVEEDOR]],Tabla7[],2,FALSE)</f>
        <v>860.075.208-7</v>
      </c>
      <c r="G10" s="9">
        <v>11176</v>
      </c>
      <c r="H10" s="9">
        <f t="shared" si="0"/>
        <v>2123.44</v>
      </c>
      <c r="I10" s="9">
        <f t="shared" si="1"/>
        <v>13299.44</v>
      </c>
      <c r="J10" s="1" t="s">
        <v>28</v>
      </c>
    </row>
    <row r="11" spans="1:15" x14ac:dyDescent="0.25">
      <c r="A11" s="7">
        <v>43242</v>
      </c>
      <c r="B11" s="7" t="str">
        <f>+TEXT(Tabla1[[#This Row],[FECHA]],"MMMM")</f>
        <v>mayo</v>
      </c>
      <c r="C11" s="7" t="str">
        <f>+TEXT(Tabla1[[#This Row],[FECHA]],"AAAA")</f>
        <v>martes</v>
      </c>
      <c r="D11" s="1">
        <v>81667</v>
      </c>
      <c r="E11" s="1" t="s">
        <v>29</v>
      </c>
      <c r="F11" s="1" t="str">
        <f>+VLOOKUP(Tabla1[[#This Row],[PROVEEDOR]],Tabla7[],2,FALSE)</f>
        <v>830.022.380-1</v>
      </c>
      <c r="G11" s="9">
        <v>14370</v>
      </c>
      <c r="H11" s="9">
        <f t="shared" si="0"/>
        <v>2730.3</v>
      </c>
      <c r="I11" s="9">
        <f t="shared" si="1"/>
        <v>17100.3</v>
      </c>
      <c r="J11" s="1" t="s">
        <v>31</v>
      </c>
    </row>
    <row r="12" spans="1:15" x14ac:dyDescent="0.25">
      <c r="A12" s="7">
        <v>43243</v>
      </c>
      <c r="B12" s="7" t="str">
        <f>+TEXT(Tabla1[[#This Row],[FECHA]],"MMMM")</f>
        <v>mayo</v>
      </c>
      <c r="C12" s="7" t="str">
        <f>+TEXT(Tabla1[[#This Row],[FECHA]],"AAAA")</f>
        <v>miércoles</v>
      </c>
      <c r="D12" s="1">
        <v>3993</v>
      </c>
      <c r="E12" s="1" t="s">
        <v>32</v>
      </c>
      <c r="F12" s="1">
        <f>+VLOOKUP(Tabla1[[#This Row],[PROVEEDOR]],Tabla7[],2,FALSE)</f>
        <v>0</v>
      </c>
      <c r="G12" s="9">
        <v>43697</v>
      </c>
      <c r="H12" s="9">
        <f t="shared" si="0"/>
        <v>8302.43</v>
      </c>
      <c r="I12" s="9">
        <f t="shared" si="1"/>
        <v>51999.43</v>
      </c>
      <c r="J12" s="1" t="s">
        <v>33</v>
      </c>
    </row>
    <row r="13" spans="1:15" x14ac:dyDescent="0.25">
      <c r="A13" s="7">
        <v>43272</v>
      </c>
      <c r="B13" s="7" t="str">
        <f>+TEXT(Tabla1[[#This Row],[FECHA]],"MMMM")</f>
        <v>junio</v>
      </c>
      <c r="C13" s="7" t="str">
        <f>+TEXT(Tabla1[[#This Row],[FECHA]],"AAAA")</f>
        <v>jueves</v>
      </c>
      <c r="D13" s="1">
        <v>1620</v>
      </c>
      <c r="E13" s="1" t="s">
        <v>229</v>
      </c>
      <c r="F13" s="1" t="str">
        <f>+VLOOKUP(Tabla1[[#This Row],[PROVEEDOR]],Tabla7[],2,FALSE)</f>
        <v>860.075.208-7</v>
      </c>
      <c r="G13" s="9">
        <v>59134</v>
      </c>
      <c r="H13" s="9">
        <f t="shared" si="0"/>
        <v>11235.460000000001</v>
      </c>
      <c r="I13" s="9">
        <f t="shared" si="1"/>
        <v>70369.460000000006</v>
      </c>
      <c r="J13" s="1" t="s">
        <v>34</v>
      </c>
    </row>
    <row r="14" spans="1:15" x14ac:dyDescent="0.25">
      <c r="A14" s="7">
        <v>43278</v>
      </c>
      <c r="B14" s="7" t="str">
        <f>+TEXT(Tabla1[[#This Row],[FECHA]],"MMMM")</f>
        <v>junio</v>
      </c>
      <c r="C14" s="7" t="str">
        <f>+TEXT(Tabla1[[#This Row],[FECHA]],"AAAA")</f>
        <v>miércoles</v>
      </c>
      <c r="D14" s="1">
        <v>63100</v>
      </c>
      <c r="E14" s="1" t="s">
        <v>35</v>
      </c>
      <c r="F14" s="1" t="str">
        <f>+VLOOKUP(Tabla1[[#This Row],[PROVEEDOR]],Tabla7[],2,FALSE)</f>
        <v>811.000.785-5</v>
      </c>
      <c r="G14" s="9">
        <v>133511</v>
      </c>
      <c r="H14" s="9">
        <f t="shared" si="0"/>
        <v>25367.09</v>
      </c>
      <c r="I14" s="9">
        <f>+G14+H14+33422</f>
        <v>192300.09</v>
      </c>
      <c r="J14" s="1" t="s">
        <v>37</v>
      </c>
    </row>
    <row r="15" spans="1:15" x14ac:dyDescent="0.25">
      <c r="A15" s="7">
        <v>43304</v>
      </c>
      <c r="B15" s="7" t="str">
        <f>+TEXT(Tabla1[[#This Row],[FECHA]],"MMMM")</f>
        <v>julio</v>
      </c>
      <c r="C15" s="7" t="str">
        <f>+TEXT(Tabla1[[#This Row],[FECHA]],"AAAA")</f>
        <v>lunes</v>
      </c>
      <c r="D15" s="1">
        <v>29661</v>
      </c>
      <c r="E15" s="1" t="s">
        <v>38</v>
      </c>
      <c r="F15" s="1" t="str">
        <f>+VLOOKUP(Tabla1[[#This Row],[PROVEEDOR]],Tabla7[],2,FALSE)</f>
        <v>71.212.993-7</v>
      </c>
      <c r="G15" s="9">
        <v>19328</v>
      </c>
      <c r="H15" s="9">
        <f t="shared" si="0"/>
        <v>3672.32</v>
      </c>
      <c r="I15" s="9">
        <f t="shared" ref="I15:I73" si="2">+G15+H15</f>
        <v>23000.32</v>
      </c>
      <c r="J15" s="1" t="s">
        <v>40</v>
      </c>
    </row>
    <row r="16" spans="1:15" x14ac:dyDescent="0.25">
      <c r="A16" s="7">
        <v>43306</v>
      </c>
      <c r="B16" s="7" t="str">
        <f>+TEXT(Tabla1[[#This Row],[FECHA]],"MMMM")</f>
        <v>julio</v>
      </c>
      <c r="C16" s="7" t="str">
        <f>+TEXT(Tabla1[[#This Row],[FECHA]],"AAAA")</f>
        <v>miércoles</v>
      </c>
      <c r="D16" s="1">
        <v>299808</v>
      </c>
      <c r="E16" s="1" t="s">
        <v>38</v>
      </c>
      <c r="F16" s="1" t="str">
        <f>+VLOOKUP(Tabla1[[#This Row],[PROVEEDOR]],Tabla7[],2,FALSE)</f>
        <v>71.212.993-7</v>
      </c>
      <c r="G16" s="9">
        <v>8151</v>
      </c>
      <c r="H16" s="9">
        <f t="shared" si="0"/>
        <v>1548.69</v>
      </c>
      <c r="I16" s="9">
        <f t="shared" si="2"/>
        <v>9699.69</v>
      </c>
      <c r="J16" s="1" t="s">
        <v>40</v>
      </c>
    </row>
    <row r="17" spans="1:10" x14ac:dyDescent="0.25">
      <c r="A17" s="7">
        <v>43306</v>
      </c>
      <c r="B17" s="7" t="str">
        <f>+TEXT(Tabla1[[#This Row],[FECHA]],"MMMM")</f>
        <v>julio</v>
      </c>
      <c r="C17" s="7" t="str">
        <f>+TEXT(Tabla1[[#This Row],[FECHA]],"AAAA")</f>
        <v>miércoles</v>
      </c>
      <c r="D17" s="1">
        <v>4875</v>
      </c>
      <c r="E17" s="1" t="s">
        <v>229</v>
      </c>
      <c r="F17" s="1" t="str">
        <f>+VLOOKUP(Tabla1[[#This Row],[PROVEEDOR]],Tabla7[],2,FALSE)</f>
        <v>860.075.208-7</v>
      </c>
      <c r="G17" s="9">
        <v>10504</v>
      </c>
      <c r="H17" s="9">
        <f t="shared" si="0"/>
        <v>1995.76</v>
      </c>
      <c r="I17" s="9">
        <f t="shared" si="2"/>
        <v>12499.76</v>
      </c>
      <c r="J17" s="1" t="s">
        <v>28</v>
      </c>
    </row>
    <row r="18" spans="1:10" x14ac:dyDescent="0.25">
      <c r="A18" s="7">
        <v>43313</v>
      </c>
      <c r="B18" s="7" t="str">
        <f>+TEXT(Tabla1[[#This Row],[FECHA]],"MMMM")</f>
        <v>agosto</v>
      </c>
      <c r="C18" s="7" t="str">
        <f>+TEXT(Tabla1[[#This Row],[FECHA]],"AAAA")</f>
        <v>miércoles</v>
      </c>
      <c r="D18" s="1">
        <v>58265</v>
      </c>
      <c r="E18" s="1" t="s">
        <v>41</v>
      </c>
      <c r="F18" s="1" t="str">
        <f>+VLOOKUP(Tabla1[[#This Row],[PROVEEDOR]],Tabla7[],2,FALSE)</f>
        <v>890.910.715-1</v>
      </c>
      <c r="G18" s="9">
        <v>43656</v>
      </c>
      <c r="H18" s="9">
        <f t="shared" si="0"/>
        <v>8294.64</v>
      </c>
      <c r="I18" s="9">
        <f t="shared" si="2"/>
        <v>51950.64</v>
      </c>
      <c r="J18" s="1" t="s">
        <v>43</v>
      </c>
    </row>
    <row r="19" spans="1:10" x14ac:dyDescent="0.25">
      <c r="A19" s="7">
        <v>43318</v>
      </c>
      <c r="B19" s="7" t="str">
        <f>+TEXT(Tabla1[[#This Row],[FECHA]],"MMMM")</f>
        <v>agosto</v>
      </c>
      <c r="C19" s="7" t="str">
        <f>+TEXT(Tabla1[[#This Row],[FECHA]],"AAAA")</f>
        <v>lunes</v>
      </c>
      <c r="D19" s="1">
        <v>42013486</v>
      </c>
      <c r="E19" s="1" t="s">
        <v>44</v>
      </c>
      <c r="F19" s="1" t="str">
        <f>+VLOOKUP(Tabla1[[#This Row],[PROVEEDOR]],Tabla7[],2,FALSE)</f>
        <v>800.242.106-2</v>
      </c>
      <c r="G19" s="9">
        <v>204706</v>
      </c>
      <c r="H19" s="9">
        <f t="shared" si="0"/>
        <v>38894.14</v>
      </c>
      <c r="I19" s="9">
        <f t="shared" si="2"/>
        <v>243600.14</v>
      </c>
      <c r="J19" s="1" t="s">
        <v>46</v>
      </c>
    </row>
    <row r="20" spans="1:10" x14ac:dyDescent="0.25">
      <c r="A20" s="7">
        <v>43327</v>
      </c>
      <c r="B20" s="7" t="str">
        <f>+TEXT(Tabla1[[#This Row],[FECHA]],"MMMM")</f>
        <v>agosto</v>
      </c>
      <c r="C20" s="7" t="str">
        <f>+TEXT(Tabla1[[#This Row],[FECHA]],"AAAA")</f>
        <v>miércoles</v>
      </c>
      <c r="D20" s="1">
        <v>78336</v>
      </c>
      <c r="E20" s="1" t="s">
        <v>21</v>
      </c>
      <c r="F20" s="1" t="str">
        <f>+VLOOKUP(Tabla1[[#This Row],[PROVEEDOR]],Tabla7[],2,FALSE)</f>
        <v>890.928.831-7</v>
      </c>
      <c r="G20" s="9">
        <v>23529</v>
      </c>
      <c r="H20" s="9">
        <f t="shared" si="0"/>
        <v>4470.51</v>
      </c>
      <c r="I20" s="9">
        <f t="shared" si="2"/>
        <v>27999.510000000002</v>
      </c>
      <c r="J20" s="1" t="s">
        <v>23</v>
      </c>
    </row>
    <row r="21" spans="1:10" x14ac:dyDescent="0.25">
      <c r="A21" s="7">
        <v>43327</v>
      </c>
      <c r="B21" s="7" t="str">
        <f>+TEXT(Tabla1[[#This Row],[FECHA]],"MMMM")</f>
        <v>agosto</v>
      </c>
      <c r="C21" s="7" t="str">
        <f>+TEXT(Tabla1[[#This Row],[FECHA]],"AAAA")</f>
        <v>miércoles</v>
      </c>
      <c r="D21" s="1">
        <v>105562</v>
      </c>
      <c r="E21" s="1" t="s">
        <v>47</v>
      </c>
      <c r="F21" s="1" t="str">
        <f>+VLOOKUP(Tabla1[[#This Row],[PROVEEDOR]],Tabla7[],2,FALSE)</f>
        <v>71.315.681-7</v>
      </c>
      <c r="G21" s="9">
        <v>11176</v>
      </c>
      <c r="H21" s="9">
        <f t="shared" si="0"/>
        <v>2123.44</v>
      </c>
      <c r="I21" s="9">
        <f t="shared" si="2"/>
        <v>13299.44</v>
      </c>
      <c r="J21" s="1" t="s">
        <v>49</v>
      </c>
    </row>
    <row r="22" spans="1:10" x14ac:dyDescent="0.25">
      <c r="A22" s="7">
        <v>43328</v>
      </c>
      <c r="B22" s="7" t="str">
        <f>+TEXT(Tabla1[[#This Row],[FECHA]],"MMMM")</f>
        <v>agosto</v>
      </c>
      <c r="C22" s="7" t="str">
        <f>+TEXT(Tabla1[[#This Row],[FECHA]],"AAAA")</f>
        <v>jueves</v>
      </c>
      <c r="D22" s="1">
        <v>55390</v>
      </c>
      <c r="E22" s="1" t="s">
        <v>50</v>
      </c>
      <c r="F22" s="1" t="str">
        <f>+VLOOKUP(Tabla1[[#This Row],[PROVEEDOR]],Tabla7[],2,FALSE)</f>
        <v>860.500.480-8</v>
      </c>
      <c r="G22" s="9">
        <f>85827.74-2100.84</f>
        <v>83726.900000000009</v>
      </c>
      <c r="H22" s="9">
        <f t="shared" si="0"/>
        <v>15908.111000000003</v>
      </c>
      <c r="I22" s="9">
        <f t="shared" si="2"/>
        <v>99635.011000000013</v>
      </c>
      <c r="J22" s="1" t="s">
        <v>52</v>
      </c>
    </row>
    <row r="23" spans="1:10" x14ac:dyDescent="0.25">
      <c r="A23" s="7">
        <v>43328</v>
      </c>
      <c r="B23" s="7" t="str">
        <f>+TEXT(Tabla1[[#This Row],[FECHA]],"MMMM")</f>
        <v>agosto</v>
      </c>
      <c r="C23" s="7" t="str">
        <f>+TEXT(Tabla1[[#This Row],[FECHA]],"AAAA")</f>
        <v>jueves</v>
      </c>
      <c r="D23" s="1">
        <v>61526</v>
      </c>
      <c r="E23" s="1" t="s">
        <v>53</v>
      </c>
      <c r="F23" s="1" t="str">
        <f>+VLOOKUP(Tabla1[[#This Row],[PROVEEDOR]],Tabla7[],2,FALSE)</f>
        <v>800.147.650-1</v>
      </c>
      <c r="G23" s="9">
        <v>18877</v>
      </c>
      <c r="H23" s="9">
        <f t="shared" si="0"/>
        <v>3586.63</v>
      </c>
      <c r="I23" s="9">
        <f t="shared" si="2"/>
        <v>22463.63</v>
      </c>
      <c r="J23" s="1" t="s">
        <v>55</v>
      </c>
    </row>
    <row r="24" spans="1:10" x14ac:dyDescent="0.25">
      <c r="A24" s="7">
        <v>43330</v>
      </c>
      <c r="B24" s="7" t="str">
        <f>+TEXT(Tabla1[[#This Row],[FECHA]],"MMMM")</f>
        <v>agosto</v>
      </c>
      <c r="C24" s="7" t="str">
        <f>+TEXT(Tabla1[[#This Row],[FECHA]],"AAAA")</f>
        <v>sábado</v>
      </c>
      <c r="D24" s="1">
        <v>276971</v>
      </c>
      <c r="E24" s="1" t="s">
        <v>14</v>
      </c>
      <c r="F24" s="1" t="str">
        <f>+VLOOKUP(Tabla1[[#This Row],[PROVEEDOR]],Tabla7[],2,FALSE)</f>
        <v>42.765.696-1</v>
      </c>
      <c r="G24" s="9">
        <v>2689.08</v>
      </c>
      <c r="H24" s="9">
        <f t="shared" si="0"/>
        <v>510.92520000000002</v>
      </c>
      <c r="I24" s="9">
        <f t="shared" si="2"/>
        <v>3200.0052000000001</v>
      </c>
      <c r="J24" s="1" t="s">
        <v>56</v>
      </c>
    </row>
    <row r="25" spans="1:10" x14ac:dyDescent="0.25">
      <c r="A25" s="7">
        <v>43334</v>
      </c>
      <c r="B25" s="7" t="str">
        <f>+TEXT(Tabla1[[#This Row],[FECHA]],"MMMM")</f>
        <v>agosto</v>
      </c>
      <c r="C25" s="7" t="str">
        <f>+TEXT(Tabla1[[#This Row],[FECHA]],"AAAA")</f>
        <v>miércoles</v>
      </c>
      <c r="D25" s="1">
        <v>2947</v>
      </c>
      <c r="E25" s="1" t="s">
        <v>57</v>
      </c>
      <c r="F25" s="1" t="str">
        <f>+VLOOKUP(Tabla1[[#This Row],[PROVEEDOR]],Tabla7[],2,FALSE)</f>
        <v>901.165.210-7</v>
      </c>
      <c r="G25" s="9">
        <f>36414-3641</f>
        <v>32773</v>
      </c>
      <c r="H25" s="9">
        <f t="shared" si="0"/>
        <v>6226.87</v>
      </c>
      <c r="I25" s="9">
        <f t="shared" si="2"/>
        <v>38999.870000000003</v>
      </c>
      <c r="J25" s="1" t="s">
        <v>59</v>
      </c>
    </row>
    <row r="26" spans="1:10" x14ac:dyDescent="0.25">
      <c r="A26" s="7">
        <v>43206</v>
      </c>
      <c r="B26" s="7" t="str">
        <f>+TEXT(Tabla1[[#This Row],[FECHA]],"MMMM")</f>
        <v>abril</v>
      </c>
      <c r="C26" s="7" t="str">
        <f>+TEXT(Tabla1[[#This Row],[FECHA]],"AAAA")</f>
        <v>lunes</v>
      </c>
      <c r="D26" s="1">
        <v>55598</v>
      </c>
      <c r="E26" s="1" t="s">
        <v>60</v>
      </c>
      <c r="F26" s="1" t="str">
        <f>+VLOOKUP(Tabla1[[#This Row],[PROVEEDOR]],Tabla7[],2,FALSE)</f>
        <v>811.023.960-7</v>
      </c>
      <c r="G26" s="9">
        <v>75600</v>
      </c>
      <c r="H26" s="9">
        <v>0</v>
      </c>
      <c r="I26" s="9">
        <f t="shared" si="2"/>
        <v>75600</v>
      </c>
      <c r="J26" s="1" t="s">
        <v>62</v>
      </c>
    </row>
    <row r="27" spans="1:10" x14ac:dyDescent="0.25">
      <c r="A27" s="7">
        <v>43209</v>
      </c>
      <c r="B27" s="7" t="str">
        <f>+TEXT(Tabla1[[#This Row],[FECHA]],"MMMM")</f>
        <v>abril</v>
      </c>
      <c r="C27" s="7" t="str">
        <f>+TEXT(Tabla1[[#This Row],[FECHA]],"AAAA")</f>
        <v>jueves</v>
      </c>
      <c r="D27" s="1">
        <v>11791</v>
      </c>
      <c r="E27" s="1" t="s">
        <v>63</v>
      </c>
      <c r="F27" s="1" t="str">
        <f>+VLOOKUP(Tabla1[[#This Row],[PROVEEDOR]],Tabla7[],2,FALSE)</f>
        <v>811.047.183-4</v>
      </c>
      <c r="G27" s="9">
        <v>23138</v>
      </c>
      <c r="H27" s="9">
        <f t="shared" ref="H27:H88" si="3">+G27*19%</f>
        <v>4396.22</v>
      </c>
      <c r="I27" s="9">
        <f t="shared" si="2"/>
        <v>27534.22</v>
      </c>
      <c r="J27" s="1" t="s">
        <v>65</v>
      </c>
    </row>
    <row r="28" spans="1:10" x14ac:dyDescent="0.25">
      <c r="A28" s="7">
        <v>43154</v>
      </c>
      <c r="B28" s="7" t="str">
        <f>+TEXT(Tabla1[[#This Row],[FECHA]],"MMMM")</f>
        <v>febrero</v>
      </c>
      <c r="C28" s="7" t="str">
        <f>+TEXT(Tabla1[[#This Row],[FECHA]],"AAAA")</f>
        <v>viernes</v>
      </c>
      <c r="D28" s="1">
        <v>109044</v>
      </c>
      <c r="E28" s="1" t="s">
        <v>229</v>
      </c>
      <c r="F28" s="1" t="str">
        <f>+VLOOKUP(Tabla1[[#This Row],[PROVEEDOR]],Tabla7[],2,FALSE)</f>
        <v>860.075.208-7</v>
      </c>
      <c r="G28" s="9">
        <v>100252.09</v>
      </c>
      <c r="H28" s="9">
        <f t="shared" si="3"/>
        <v>19047.897099999998</v>
      </c>
      <c r="I28" s="9">
        <f t="shared" si="2"/>
        <v>119299.9871</v>
      </c>
      <c r="J28" s="1" t="s">
        <v>66</v>
      </c>
    </row>
    <row r="29" spans="1:10" x14ac:dyDescent="0.25">
      <c r="A29" s="7">
        <v>43175</v>
      </c>
      <c r="B29" s="7" t="str">
        <f>+TEXT(Tabla1[[#This Row],[FECHA]],"MMMM")</f>
        <v>marzo</v>
      </c>
      <c r="C29" s="7" t="str">
        <f>+TEXT(Tabla1[[#This Row],[FECHA]],"AAAA")</f>
        <v>viernes</v>
      </c>
      <c r="D29" s="1">
        <v>19754</v>
      </c>
      <c r="E29" s="1" t="s">
        <v>18</v>
      </c>
      <c r="F29" s="1" t="str">
        <f>+VLOOKUP(Tabla1[[#This Row],[PROVEEDOR]],Tabla7[],2,FALSE)</f>
        <v>900.113.676-9</v>
      </c>
      <c r="G29" s="9">
        <v>56218</v>
      </c>
      <c r="H29" s="9">
        <f t="shared" si="3"/>
        <v>10681.42</v>
      </c>
      <c r="I29" s="9">
        <f t="shared" si="2"/>
        <v>66899.42</v>
      </c>
      <c r="J29" s="1" t="s">
        <v>67</v>
      </c>
    </row>
    <row r="30" spans="1:10" x14ac:dyDescent="0.25">
      <c r="A30" s="7">
        <v>43304</v>
      </c>
      <c r="B30" s="7" t="str">
        <f>+TEXT(Tabla1[[#This Row],[FECHA]],"MMMM")</f>
        <v>julio</v>
      </c>
      <c r="C30" s="7" t="str">
        <f>+TEXT(Tabla1[[#This Row],[FECHA]],"AAAA")</f>
        <v>lunes</v>
      </c>
      <c r="D30" s="1">
        <v>2758</v>
      </c>
      <c r="E30" s="1" t="s">
        <v>229</v>
      </c>
      <c r="F30" s="1" t="str">
        <f>+VLOOKUP(Tabla1[[#This Row],[PROVEEDOR]],Tabla7[],2,FALSE)</f>
        <v>860.075.208-7</v>
      </c>
      <c r="G30" s="9">
        <v>9244</v>
      </c>
      <c r="H30" s="9">
        <f t="shared" si="3"/>
        <v>1756.3600000000001</v>
      </c>
      <c r="I30" s="9">
        <f t="shared" si="2"/>
        <v>11000.36</v>
      </c>
      <c r="J30" s="1" t="s">
        <v>68</v>
      </c>
    </row>
    <row r="31" spans="1:10" x14ac:dyDescent="0.25">
      <c r="A31" s="7">
        <v>43318</v>
      </c>
      <c r="B31" s="7" t="str">
        <f>+TEXT(Tabla1[[#This Row],[FECHA]],"MMMM")</f>
        <v>agosto</v>
      </c>
      <c r="C31" s="7" t="str">
        <f>+TEXT(Tabla1[[#This Row],[FECHA]],"AAAA")</f>
        <v>lunes</v>
      </c>
      <c r="D31" s="1">
        <v>8716</v>
      </c>
      <c r="E31" s="1" t="s">
        <v>38</v>
      </c>
      <c r="F31" s="1" t="str">
        <f>+VLOOKUP(Tabla1[[#This Row],[PROVEEDOR]],Tabla7[],2,FALSE)</f>
        <v>71.212.993-7</v>
      </c>
      <c r="G31" s="9">
        <v>51261</v>
      </c>
      <c r="H31" s="9">
        <f t="shared" si="3"/>
        <v>9739.59</v>
      </c>
      <c r="I31" s="9">
        <f t="shared" si="2"/>
        <v>61000.59</v>
      </c>
      <c r="J31" s="1" t="s">
        <v>69</v>
      </c>
    </row>
    <row r="32" spans="1:10" x14ac:dyDescent="0.25">
      <c r="A32" s="7">
        <v>43348</v>
      </c>
      <c r="B32" s="7" t="str">
        <f>+TEXT(Tabla1[[#This Row],[FECHA]],"MMMM")</f>
        <v>septiembre</v>
      </c>
      <c r="C32" s="7" t="str">
        <f>+TEXT(Tabla1[[#This Row],[FECHA]],"AAAA")</f>
        <v>miércoles</v>
      </c>
      <c r="D32" s="1">
        <v>490891</v>
      </c>
      <c r="E32" s="1" t="s">
        <v>44</v>
      </c>
      <c r="F32" s="1" t="str">
        <f>+VLOOKUP(Tabla1[[#This Row],[PROVEEDOR]],Tabla7[],2,FALSE)</f>
        <v>800.242.106-2</v>
      </c>
      <c r="G32" s="9">
        <v>55378</v>
      </c>
      <c r="H32" s="9">
        <f t="shared" si="3"/>
        <v>10521.82</v>
      </c>
      <c r="I32" s="9">
        <f t="shared" si="2"/>
        <v>65899.820000000007</v>
      </c>
      <c r="J32" s="1" t="s">
        <v>70</v>
      </c>
    </row>
    <row r="33" spans="1:10" x14ac:dyDescent="0.25">
      <c r="A33" s="7">
        <v>43181</v>
      </c>
      <c r="B33" s="7" t="str">
        <f>+TEXT(Tabla1[[#This Row],[FECHA]],"MMMM")</f>
        <v>marzo</v>
      </c>
      <c r="C33" s="7" t="str">
        <f>+TEXT(Tabla1[[#This Row],[FECHA]],"AAAA")</f>
        <v>jueves</v>
      </c>
      <c r="D33" s="1">
        <v>110790</v>
      </c>
      <c r="E33" s="1" t="s">
        <v>229</v>
      </c>
      <c r="F33" s="1" t="str">
        <f>+VLOOKUP(Tabla1[[#This Row],[PROVEEDOR]],Tabla7[],2,FALSE)</f>
        <v>860.075.208-7</v>
      </c>
      <c r="G33" s="9">
        <v>7428.58</v>
      </c>
      <c r="H33" s="9">
        <f t="shared" si="3"/>
        <v>1411.4302</v>
      </c>
      <c r="I33" s="9">
        <f t="shared" si="2"/>
        <v>8840.0102000000006</v>
      </c>
      <c r="J33" s="1" t="s">
        <v>71</v>
      </c>
    </row>
    <row r="34" spans="1:10" x14ac:dyDescent="0.25">
      <c r="A34" s="7">
        <v>43362</v>
      </c>
      <c r="B34" s="7" t="str">
        <f>+TEXT(Tabla1[[#This Row],[FECHA]],"MMMM")</f>
        <v>septiembre</v>
      </c>
      <c r="C34" s="7" t="str">
        <f>+TEXT(Tabla1[[#This Row],[FECHA]],"AAAA")</f>
        <v>miércoles</v>
      </c>
      <c r="D34" s="1">
        <v>76228</v>
      </c>
      <c r="E34" s="1" t="s">
        <v>72</v>
      </c>
      <c r="F34" s="1" t="str">
        <f>+VLOOKUP(Tabla1[[#This Row],[PROVEEDOR]],Tabla7[],2,FALSE)</f>
        <v>901.099.232-6</v>
      </c>
      <c r="G34" s="9">
        <v>127143</v>
      </c>
      <c r="H34" s="9">
        <f t="shared" si="3"/>
        <v>24157.170000000002</v>
      </c>
      <c r="I34" s="9">
        <f t="shared" si="2"/>
        <v>151300.17000000001</v>
      </c>
      <c r="J34" s="1" t="s">
        <v>74</v>
      </c>
    </row>
    <row r="35" spans="1:10" x14ac:dyDescent="0.25">
      <c r="A35" s="7">
        <v>43367</v>
      </c>
      <c r="B35" s="7" t="str">
        <f>+TEXT(Tabla1[[#This Row],[FECHA]],"MMMM")</f>
        <v>septiembre</v>
      </c>
      <c r="C35" s="7" t="str">
        <f>+TEXT(Tabla1[[#This Row],[FECHA]],"AAAA")</f>
        <v>lunes</v>
      </c>
      <c r="D35" s="1">
        <v>107283</v>
      </c>
      <c r="E35" s="1" t="s">
        <v>47</v>
      </c>
      <c r="F35" s="1" t="str">
        <f>+VLOOKUP(Tabla1[[#This Row],[PROVEEDOR]],Tabla7[],2,FALSE)</f>
        <v>71.315.681-7</v>
      </c>
      <c r="G35" s="9">
        <v>29664</v>
      </c>
      <c r="H35" s="9">
        <f t="shared" si="3"/>
        <v>5636.16</v>
      </c>
      <c r="I35" s="9">
        <f t="shared" si="2"/>
        <v>35300.160000000003</v>
      </c>
      <c r="J35" s="1" t="s">
        <v>75</v>
      </c>
    </row>
    <row r="36" spans="1:10" x14ac:dyDescent="0.25">
      <c r="A36" s="7">
        <v>43364</v>
      </c>
      <c r="B36" s="7" t="str">
        <f>+TEXT(Tabla1[[#This Row],[FECHA]],"MMMM")</f>
        <v>septiembre</v>
      </c>
      <c r="C36" s="7" t="str">
        <f>+TEXT(Tabla1[[#This Row],[FECHA]],"AAAA")</f>
        <v>viernes</v>
      </c>
      <c r="D36" s="1">
        <v>421830</v>
      </c>
      <c r="E36" s="1" t="s">
        <v>44</v>
      </c>
      <c r="F36" s="1" t="str">
        <f>+VLOOKUP(Tabla1[[#This Row],[PROVEEDOR]],Tabla7[],2,FALSE)</f>
        <v>800.242.106-2</v>
      </c>
      <c r="G36" s="9">
        <v>40168</v>
      </c>
      <c r="H36" s="9">
        <f t="shared" si="3"/>
        <v>7631.92</v>
      </c>
      <c r="I36" s="9">
        <f t="shared" si="2"/>
        <v>47799.92</v>
      </c>
      <c r="J36" s="1" t="s">
        <v>76</v>
      </c>
    </row>
    <row r="37" spans="1:10" x14ac:dyDescent="0.25">
      <c r="A37" s="7">
        <v>43371</v>
      </c>
      <c r="B37" s="7" t="str">
        <f>+TEXT(Tabla1[[#This Row],[FECHA]],"MMMM")</f>
        <v>septiembre</v>
      </c>
      <c r="C37" s="7" t="str">
        <f>+TEXT(Tabla1[[#This Row],[FECHA]],"AAAA")</f>
        <v>viernes</v>
      </c>
      <c r="D37" s="1">
        <v>517528</v>
      </c>
      <c r="E37" s="1" t="s">
        <v>44</v>
      </c>
      <c r="F37" s="1" t="str">
        <f>+VLOOKUP(Tabla1[[#This Row],[PROVEEDOR]],Tabla7[],2,FALSE)</f>
        <v>800.242.106-2</v>
      </c>
      <c r="G37" s="9">
        <v>183193</v>
      </c>
      <c r="H37" s="9">
        <f t="shared" si="3"/>
        <v>34806.67</v>
      </c>
      <c r="I37" s="9">
        <f t="shared" si="2"/>
        <v>217999.66999999998</v>
      </c>
      <c r="J37" s="1" t="s">
        <v>77</v>
      </c>
    </row>
    <row r="38" spans="1:10" x14ac:dyDescent="0.25">
      <c r="A38" s="7">
        <v>43209</v>
      </c>
      <c r="B38" s="7" t="str">
        <f>+TEXT(Tabla1[[#This Row],[FECHA]],"MMMM")</f>
        <v>abril</v>
      </c>
      <c r="C38" s="7" t="str">
        <f>+TEXT(Tabla1[[#This Row],[FECHA]],"AAAA")</f>
        <v>jueves</v>
      </c>
      <c r="D38" s="1">
        <v>2038692</v>
      </c>
      <c r="E38" s="1" t="s">
        <v>50</v>
      </c>
      <c r="F38" s="1" t="str">
        <f>+VLOOKUP(Tabla1[[#This Row],[PROVEEDOR]],Tabla7[],2,FALSE)</f>
        <v>860.500.480-8</v>
      </c>
      <c r="G38" s="9">
        <v>66931.09</v>
      </c>
      <c r="H38" s="9">
        <f t="shared" si="3"/>
        <v>12716.9071</v>
      </c>
      <c r="I38" s="9">
        <f t="shared" si="2"/>
        <v>79647.997099999993</v>
      </c>
      <c r="J38" s="1" t="s">
        <v>78</v>
      </c>
    </row>
    <row r="39" spans="1:10" x14ac:dyDescent="0.25">
      <c r="A39" s="7">
        <v>43390</v>
      </c>
      <c r="B39" s="7" t="str">
        <f>+TEXT(Tabla1[[#This Row],[FECHA]],"MMMM")</f>
        <v>octubre</v>
      </c>
      <c r="C39" s="7" t="str">
        <f>+TEXT(Tabla1[[#This Row],[FECHA]],"AAAA")</f>
        <v>miércoles</v>
      </c>
      <c r="D39" s="1">
        <v>9307</v>
      </c>
      <c r="E39" s="1" t="s">
        <v>79</v>
      </c>
      <c r="F39" s="1" t="str">
        <f>+VLOOKUP(Tabla1[[#This Row],[PROVEEDOR]],Tabla7[],2,FALSE)</f>
        <v>890.300.225-7</v>
      </c>
      <c r="G39" s="9">
        <v>61008</v>
      </c>
      <c r="H39" s="9">
        <f t="shared" si="3"/>
        <v>11591.52</v>
      </c>
      <c r="I39" s="9">
        <f t="shared" si="2"/>
        <v>72599.520000000004</v>
      </c>
      <c r="J39" s="1" t="s">
        <v>81</v>
      </c>
    </row>
    <row r="40" spans="1:10" x14ac:dyDescent="0.25">
      <c r="A40" s="7">
        <v>43341</v>
      </c>
      <c r="B40" s="7" t="str">
        <f>+TEXT(Tabla1[[#This Row],[FECHA]],"MMMM")</f>
        <v>agosto</v>
      </c>
      <c r="C40" s="7" t="str">
        <f>+TEXT(Tabla1[[#This Row],[FECHA]],"AAAA")</f>
        <v>miércoles</v>
      </c>
      <c r="D40" s="1">
        <v>278062</v>
      </c>
      <c r="E40" s="1" t="s">
        <v>14</v>
      </c>
      <c r="F40" s="1" t="str">
        <f>+VLOOKUP(Tabla1[[#This Row],[PROVEEDOR]],Tabla7[],2,FALSE)</f>
        <v>42.765.696-1</v>
      </c>
      <c r="G40" s="9">
        <v>75336.41</v>
      </c>
      <c r="H40" s="9">
        <f t="shared" si="3"/>
        <v>14313.9179</v>
      </c>
      <c r="I40" s="9">
        <f t="shared" si="2"/>
        <v>89650.327900000004</v>
      </c>
      <c r="J40" s="1" t="s">
        <v>69</v>
      </c>
    </row>
    <row r="41" spans="1:10" x14ac:dyDescent="0.25">
      <c r="A41" s="7">
        <v>43341</v>
      </c>
      <c r="B41" s="7" t="str">
        <f>+TEXT(Tabla1[[#This Row],[FECHA]],"MMMM")</f>
        <v>agosto</v>
      </c>
      <c r="C41" s="7" t="str">
        <f>+TEXT(Tabla1[[#This Row],[FECHA]],"AAAA")</f>
        <v>miércoles</v>
      </c>
      <c r="D41" s="1">
        <v>278064</v>
      </c>
      <c r="E41" s="1" t="s">
        <v>14</v>
      </c>
      <c r="F41" s="1" t="str">
        <f>+VLOOKUP(Tabla1[[#This Row],[PROVEEDOR]],Tabla7[],2,FALSE)</f>
        <v>42.765.696-1</v>
      </c>
      <c r="G41" s="9">
        <v>65105.22</v>
      </c>
      <c r="H41" s="9">
        <f t="shared" si="3"/>
        <v>12369.9918</v>
      </c>
      <c r="I41" s="9">
        <v>82075</v>
      </c>
      <c r="J41" s="1" t="s">
        <v>69</v>
      </c>
    </row>
    <row r="42" spans="1:10" x14ac:dyDescent="0.25">
      <c r="A42" s="7">
        <v>43341</v>
      </c>
      <c r="B42" s="7" t="str">
        <f>+TEXT(Tabla1[[#This Row],[FECHA]],"MMMM")</f>
        <v>agosto</v>
      </c>
      <c r="C42" s="7" t="str">
        <f>+TEXT(Tabla1[[#This Row],[FECHA]],"AAAA")</f>
        <v>miércoles</v>
      </c>
      <c r="D42" s="1">
        <v>278065</v>
      </c>
      <c r="E42" s="1" t="s">
        <v>14</v>
      </c>
      <c r="F42" s="1" t="str">
        <f>+VLOOKUP(Tabla1[[#This Row],[PROVEEDOR]],Tabla7[],2,FALSE)</f>
        <v>42.765.696-1</v>
      </c>
      <c r="G42" s="9">
        <v>101235.71</v>
      </c>
      <c r="H42" s="9">
        <f t="shared" si="3"/>
        <v>19234.784900000002</v>
      </c>
      <c r="I42" s="9">
        <f t="shared" si="2"/>
        <v>120470.49490000001</v>
      </c>
      <c r="J42" s="1" t="s">
        <v>69</v>
      </c>
    </row>
    <row r="43" spans="1:10" x14ac:dyDescent="0.25">
      <c r="A43" s="7">
        <v>43867</v>
      </c>
      <c r="B43" s="7" t="str">
        <f>+TEXT(Tabla1[[#This Row],[FECHA]],"MMMM")</f>
        <v>febrero</v>
      </c>
      <c r="C43" s="7" t="str">
        <f>+TEXT(Tabla1[[#This Row],[FECHA]],"AAAA")</f>
        <v>jueves</v>
      </c>
      <c r="D43" s="1">
        <v>185</v>
      </c>
      <c r="E43" s="1" t="s">
        <v>215</v>
      </c>
      <c r="F43" s="1">
        <f>+VLOOKUP(Tabla1[[#This Row],[PROVEEDOR]],Tabla7[],2,FALSE)</f>
        <v>0</v>
      </c>
      <c r="G43" s="9">
        <v>310000</v>
      </c>
      <c r="H43" s="9">
        <v>0</v>
      </c>
      <c r="I43" s="9">
        <f t="shared" si="2"/>
        <v>310000</v>
      </c>
      <c r="J43" s="1" t="s">
        <v>216</v>
      </c>
    </row>
    <row r="44" spans="1:10" x14ac:dyDescent="0.25">
      <c r="A44" s="7">
        <v>43881</v>
      </c>
      <c r="B44" s="7" t="str">
        <f>+TEXT(Tabla1[[#This Row],[FECHA]],"MMMM")</f>
        <v>febrero</v>
      </c>
      <c r="C44" s="7" t="str">
        <f>+TEXT(Tabla1[[#This Row],[FECHA]],"AAAA")</f>
        <v>jueves</v>
      </c>
      <c r="D44" s="1">
        <v>2783</v>
      </c>
      <c r="E44" s="1" t="s">
        <v>217</v>
      </c>
      <c r="F44" s="1" t="str">
        <f>+VLOOKUP(Tabla1[[#This Row],[PROVEEDOR]],Tabla7[],2,FALSE)</f>
        <v>8.228.782-0</v>
      </c>
      <c r="G44" s="9">
        <v>196394</v>
      </c>
      <c r="H44" s="9">
        <f t="shared" si="3"/>
        <v>37314.86</v>
      </c>
      <c r="I44" s="9">
        <f t="shared" si="2"/>
        <v>233708.86</v>
      </c>
      <c r="J44" s="1" t="s">
        <v>219</v>
      </c>
    </row>
    <row r="45" spans="1:10" x14ac:dyDescent="0.25">
      <c r="A45" s="7">
        <v>43886</v>
      </c>
      <c r="B45" s="7" t="str">
        <f>+TEXT(Tabla1[[#This Row],[FECHA]],"MMMM")</f>
        <v>febrero</v>
      </c>
      <c r="C45" s="7" t="str">
        <f>+TEXT(Tabla1[[#This Row],[FECHA]],"AAAA")</f>
        <v>martes</v>
      </c>
      <c r="D45" s="1">
        <v>9754</v>
      </c>
      <c r="E45" s="1" t="s">
        <v>220</v>
      </c>
      <c r="F45" s="1" t="str">
        <f>+VLOOKUP(Tabla1[[#This Row],[PROVEEDOR]],Tabla7[],2,FALSE)</f>
        <v>890.900.372-6</v>
      </c>
      <c r="G45" s="9">
        <v>15982</v>
      </c>
      <c r="H45" s="9">
        <f t="shared" si="3"/>
        <v>3036.58</v>
      </c>
      <c r="I45" s="9">
        <f t="shared" si="2"/>
        <v>19018.580000000002</v>
      </c>
      <c r="J45" s="1" t="s">
        <v>222</v>
      </c>
    </row>
    <row r="46" spans="1:10" x14ac:dyDescent="0.25">
      <c r="A46" s="7">
        <v>43885</v>
      </c>
      <c r="B46" s="7" t="str">
        <f>+TEXT(Tabla1[[#This Row],[FECHA]],"MMMM")</f>
        <v>febrero</v>
      </c>
      <c r="C46" s="7" t="str">
        <f>+TEXT(Tabla1[[#This Row],[FECHA]],"AAAA")</f>
        <v>lunes</v>
      </c>
      <c r="D46" s="1">
        <v>290555</v>
      </c>
      <c r="E46" s="1" t="s">
        <v>223</v>
      </c>
      <c r="F46" s="1" t="str">
        <f>+VLOOKUP(Tabla1[[#This Row],[PROVEEDOR]],Tabla7[],2,FALSE)</f>
        <v>811.019.431-7</v>
      </c>
      <c r="G46" s="9">
        <v>20672</v>
      </c>
      <c r="H46" s="9">
        <f t="shared" si="3"/>
        <v>3927.68</v>
      </c>
      <c r="I46" s="9">
        <f t="shared" si="2"/>
        <v>24599.68</v>
      </c>
      <c r="J46" s="1" t="s">
        <v>224</v>
      </c>
    </row>
    <row r="47" spans="1:10" x14ac:dyDescent="0.25">
      <c r="A47" s="7">
        <v>43953</v>
      </c>
      <c r="B47" s="7" t="str">
        <f>+TEXT(Tabla1[[#This Row],[FECHA]],"MMMM")</f>
        <v>mayo</v>
      </c>
      <c r="C47" s="7" t="str">
        <f>+TEXT(Tabla1[[#This Row],[FECHA]],"AAAA")</f>
        <v>sábado</v>
      </c>
      <c r="D47" s="1">
        <v>406768</v>
      </c>
      <c r="E47" s="1" t="s">
        <v>226</v>
      </c>
      <c r="F47" s="1" t="str">
        <f>+VLOOKUP(Tabla1[[#This Row],[PROVEEDOR]],Tabla7[],2,FALSE)</f>
        <v>800.028.761-0</v>
      </c>
      <c r="G47" s="9">
        <v>124369</v>
      </c>
      <c r="H47" s="9">
        <f t="shared" si="3"/>
        <v>23630.11</v>
      </c>
      <c r="I47" s="9">
        <f t="shared" si="2"/>
        <v>147999.10999999999</v>
      </c>
      <c r="J47" s="1" t="s">
        <v>227</v>
      </c>
    </row>
    <row r="48" spans="1:10" x14ac:dyDescent="0.25">
      <c r="A48" s="7">
        <v>43988</v>
      </c>
      <c r="B48" s="7" t="str">
        <f>+TEXT(Tabla1[[#This Row],[FECHA]],"MMMM")</f>
        <v>junio</v>
      </c>
      <c r="C48" s="7" t="str">
        <f>+TEXT(Tabla1[[#This Row],[FECHA]],"AAAA")</f>
        <v>sábado</v>
      </c>
      <c r="D48" s="1">
        <v>8008</v>
      </c>
      <c r="E48" s="1" t="s">
        <v>229</v>
      </c>
      <c r="F48" s="1" t="str">
        <f>+VLOOKUP(Tabla1[[#This Row],[PROVEEDOR]],Tabla7[],2,FALSE)</f>
        <v>860.075.208-7</v>
      </c>
      <c r="G48" s="9">
        <v>46387</v>
      </c>
      <c r="H48" s="9">
        <f t="shared" si="3"/>
        <v>8813.5300000000007</v>
      </c>
      <c r="I48" s="9">
        <f t="shared" si="2"/>
        <v>55200.53</v>
      </c>
      <c r="J48" s="1" t="s">
        <v>230</v>
      </c>
    </row>
    <row r="49" spans="1:10" x14ac:dyDescent="0.25">
      <c r="A49" s="7">
        <v>43985</v>
      </c>
      <c r="B49" s="7" t="str">
        <f>+TEXT(Tabla1[[#This Row],[FECHA]],"MMMM")</f>
        <v>junio</v>
      </c>
      <c r="C49" s="7" t="str">
        <f>+TEXT(Tabla1[[#This Row],[FECHA]],"AAAA")</f>
        <v>miércoles</v>
      </c>
      <c r="D49" s="1" t="s">
        <v>231</v>
      </c>
      <c r="E49" s="1" t="s">
        <v>44</v>
      </c>
      <c r="F49" s="1" t="str">
        <f>+VLOOKUP(Tabla1[[#This Row],[PROVEEDOR]],Tabla7[],2,FALSE)</f>
        <v>800.242.106-2</v>
      </c>
      <c r="G49" s="9">
        <v>121513</v>
      </c>
      <c r="H49" s="9">
        <f t="shared" si="3"/>
        <v>23087.47</v>
      </c>
      <c r="I49" s="9">
        <f t="shared" si="2"/>
        <v>144600.47</v>
      </c>
      <c r="J49" s="1" t="s">
        <v>232</v>
      </c>
    </row>
    <row r="50" spans="1:10" x14ac:dyDescent="0.25">
      <c r="A50" s="7">
        <v>44016</v>
      </c>
      <c r="B50" s="7" t="str">
        <f>+TEXT(Tabla1[[#This Row],[FECHA]],"MMMM")</f>
        <v>julio</v>
      </c>
      <c r="C50" s="7" t="str">
        <f>+TEXT(Tabla1[[#This Row],[FECHA]],"AAAA")</f>
        <v>sábado</v>
      </c>
      <c r="D50" s="1">
        <v>348028</v>
      </c>
      <c r="E50" s="1" t="s">
        <v>233</v>
      </c>
      <c r="F50" s="1" t="str">
        <f>+VLOOKUP(Tabla1[[#This Row],[PROVEEDOR]],Tabla7[],2,FALSE)</f>
        <v>900.948.601-0</v>
      </c>
      <c r="G50" s="9">
        <v>42017</v>
      </c>
      <c r="H50" s="9">
        <f t="shared" si="3"/>
        <v>7983.2300000000005</v>
      </c>
      <c r="I50" s="9">
        <f t="shared" si="2"/>
        <v>50000.23</v>
      </c>
      <c r="J50" s="1" t="s">
        <v>234</v>
      </c>
    </row>
    <row r="51" spans="1:10" x14ac:dyDescent="0.25">
      <c r="A51" s="7">
        <v>43988</v>
      </c>
      <c r="B51" s="7" t="str">
        <f>+TEXT(Tabla1[[#This Row],[FECHA]],"MMMM")</f>
        <v>junio</v>
      </c>
      <c r="C51" s="7" t="str">
        <f>+TEXT(Tabla1[[#This Row],[FECHA]],"AAAA")</f>
        <v>sábado</v>
      </c>
      <c r="D51" s="1" t="s">
        <v>236</v>
      </c>
      <c r="E51" s="1" t="s">
        <v>44</v>
      </c>
      <c r="F51" s="1" t="str">
        <f>+VLOOKUP(Tabla1[[#This Row],[PROVEEDOR]],Tabla7[],2,FALSE)</f>
        <v>800.242.106-2</v>
      </c>
      <c r="G51" s="9">
        <v>78655</v>
      </c>
      <c r="H51" s="9">
        <f t="shared" si="3"/>
        <v>14944.45</v>
      </c>
      <c r="I51" s="9">
        <f t="shared" si="2"/>
        <v>93599.45</v>
      </c>
      <c r="J51" s="1" t="s">
        <v>237</v>
      </c>
    </row>
    <row r="52" spans="1:10" x14ac:dyDescent="0.25">
      <c r="A52" s="7">
        <v>44107</v>
      </c>
      <c r="B52" s="7" t="str">
        <f>+TEXT(Tabla1[[#This Row],[FECHA]],"MMMM")</f>
        <v>octubre</v>
      </c>
      <c r="C52" s="7" t="str">
        <f>+TEXT(Tabla1[[#This Row],[FECHA]],"AAAA")</f>
        <v>sábado</v>
      </c>
      <c r="D52" s="1">
        <v>5219861</v>
      </c>
      <c r="E52" s="1" t="s">
        <v>238</v>
      </c>
      <c r="F52" s="1" t="str">
        <f>+VLOOKUP(Tabla1[[#This Row],[PROVEEDOR]],Tabla7[],2,FALSE)</f>
        <v>1128422587-8</v>
      </c>
      <c r="G52" s="9">
        <v>27521</v>
      </c>
      <c r="H52" s="9">
        <f t="shared" si="3"/>
        <v>5228.99</v>
      </c>
      <c r="I52" s="9">
        <f t="shared" si="2"/>
        <v>32749.989999999998</v>
      </c>
      <c r="J52" s="1" t="s">
        <v>240</v>
      </c>
    </row>
    <row r="53" spans="1:10" x14ac:dyDescent="0.25">
      <c r="A53" s="7">
        <v>43988</v>
      </c>
      <c r="B53" s="7" t="str">
        <f>+TEXT(Tabla1[[#This Row],[FECHA]],"MMMM")</f>
        <v>junio</v>
      </c>
      <c r="C53" s="7" t="str">
        <f>+TEXT(Tabla1[[#This Row],[FECHA]],"AAAA")</f>
        <v>sábado</v>
      </c>
      <c r="D53" s="1">
        <v>8886</v>
      </c>
      <c r="E53" s="1" t="s">
        <v>241</v>
      </c>
      <c r="F53" s="1" t="str">
        <f>+VLOOKUP(Tabla1[[#This Row],[PROVEEDOR]],Tabla7[],2,FALSE)</f>
        <v>900.199.391-4</v>
      </c>
      <c r="G53" s="9">
        <v>49580</v>
      </c>
      <c r="H53" s="9">
        <f t="shared" si="3"/>
        <v>9420.2000000000007</v>
      </c>
      <c r="I53" s="9">
        <f t="shared" si="2"/>
        <v>59000.2</v>
      </c>
      <c r="J53" s="1" t="s">
        <v>243</v>
      </c>
    </row>
    <row r="54" spans="1:10" x14ac:dyDescent="0.25">
      <c r="A54" s="7">
        <v>44048</v>
      </c>
      <c r="B54" s="7" t="str">
        <f>+TEXT(Tabla1[[#This Row],[FECHA]],"MMMM")</f>
        <v>agosto</v>
      </c>
      <c r="C54" s="7" t="str">
        <f>+TEXT(Tabla1[[#This Row],[FECHA]],"AAAA")</f>
        <v>miércoles</v>
      </c>
      <c r="D54" s="1">
        <v>27847</v>
      </c>
      <c r="E54" s="45" t="s">
        <v>244</v>
      </c>
      <c r="F54" s="1" t="str">
        <f>+VLOOKUP(Tabla1[[#This Row],[PROVEEDOR]],Tabla7[],2,FALSE)</f>
        <v>811.013.030-1</v>
      </c>
      <c r="G54" s="9">
        <v>31000</v>
      </c>
      <c r="H54" s="9">
        <v>0</v>
      </c>
      <c r="I54" s="9">
        <f t="shared" si="2"/>
        <v>31000</v>
      </c>
      <c r="J54" s="1" t="s">
        <v>246</v>
      </c>
    </row>
    <row r="55" spans="1:10" x14ac:dyDescent="0.25">
      <c r="A55" s="7">
        <v>44048</v>
      </c>
      <c r="B55" s="7" t="str">
        <f>+TEXT(Tabla1[[#This Row],[FECHA]],"MMMM")</f>
        <v>agosto</v>
      </c>
      <c r="C55" s="7" t="str">
        <f>+TEXT(Tabla1[[#This Row],[FECHA]],"AAAA")</f>
        <v>miércoles</v>
      </c>
      <c r="D55" s="1">
        <v>15985</v>
      </c>
      <c r="E55" s="1" t="s">
        <v>247</v>
      </c>
      <c r="F55" s="1" t="str">
        <f>+VLOOKUP(Tabla1[[#This Row],[PROVEEDOR]],Tabla7[],2,FALSE)</f>
        <v>900.838.480-9</v>
      </c>
      <c r="G55" s="9">
        <v>30504</v>
      </c>
      <c r="H55" s="9">
        <f t="shared" si="3"/>
        <v>5795.76</v>
      </c>
      <c r="I55" s="9">
        <f t="shared" si="2"/>
        <v>36299.760000000002</v>
      </c>
      <c r="J55" s="1" t="s">
        <v>248</v>
      </c>
    </row>
    <row r="56" spans="1:10" x14ac:dyDescent="0.25">
      <c r="A56" s="7">
        <v>44048</v>
      </c>
      <c r="B56" s="7" t="str">
        <f>+TEXT(Tabla1[[#This Row],[FECHA]],"MMMM")</f>
        <v>agosto</v>
      </c>
      <c r="C56" s="7" t="str">
        <f>+TEXT(Tabla1[[#This Row],[FECHA]],"AAAA")</f>
        <v>miércoles</v>
      </c>
      <c r="D56" s="1">
        <v>98807</v>
      </c>
      <c r="E56" s="1" t="s">
        <v>250</v>
      </c>
      <c r="F56" s="1" t="str">
        <f>+VLOOKUP(Tabla1[[#This Row],[PROVEEDOR]],Tabla7[],2,FALSE)</f>
        <v>21.395.737-0</v>
      </c>
      <c r="G56" s="9">
        <v>83361</v>
      </c>
      <c r="H56" s="9">
        <f t="shared" si="3"/>
        <v>15838.59</v>
      </c>
      <c r="I56" s="9">
        <f t="shared" si="2"/>
        <v>99199.59</v>
      </c>
      <c r="J56" s="1" t="s">
        <v>252</v>
      </c>
    </row>
    <row r="57" spans="1:10" x14ac:dyDescent="0.25">
      <c r="A57" s="7">
        <v>44053</v>
      </c>
      <c r="B57" s="7" t="str">
        <f>+TEXT(Tabla1[[#This Row],[FECHA]],"MMMM")</f>
        <v>agosto</v>
      </c>
      <c r="C57" s="7" t="str">
        <f>+TEXT(Tabla1[[#This Row],[FECHA]],"AAAA")</f>
        <v>lunes</v>
      </c>
      <c r="D57" s="1">
        <v>85640</v>
      </c>
      <c r="E57" s="1" t="s">
        <v>253</v>
      </c>
      <c r="F57" s="1" t="str">
        <f>+VLOOKUP(Tabla1[[#This Row],[PROVEEDOR]],Tabla7[],2,FALSE)</f>
        <v>800.175.064-4</v>
      </c>
      <c r="G57" s="9">
        <v>130252</v>
      </c>
      <c r="H57" s="9">
        <f t="shared" si="3"/>
        <v>24747.88</v>
      </c>
      <c r="I57" s="9">
        <f t="shared" si="2"/>
        <v>154999.88</v>
      </c>
      <c r="J57" s="1" t="s">
        <v>255</v>
      </c>
    </row>
    <row r="58" spans="1:10" x14ac:dyDescent="0.25">
      <c r="A58" s="7">
        <v>44054</v>
      </c>
      <c r="B58" s="7" t="str">
        <f>+TEXT(Tabla1[[#This Row],[FECHA]],"MMMM")</f>
        <v>agosto</v>
      </c>
      <c r="C58" s="7" t="str">
        <f>+TEXT(Tabla1[[#This Row],[FECHA]],"AAAA")</f>
        <v>martes</v>
      </c>
      <c r="D58" s="1">
        <v>6833</v>
      </c>
      <c r="E58" s="1" t="s">
        <v>256</v>
      </c>
      <c r="F58" s="1" t="str">
        <f>+VLOOKUP(Tabla1[[#This Row],[PROVEEDOR]],Tabla7[],2,FALSE)</f>
        <v>71.396.968-1</v>
      </c>
      <c r="G58" s="9">
        <v>157500</v>
      </c>
      <c r="H58" s="9">
        <v>0</v>
      </c>
      <c r="I58" s="9">
        <f t="shared" si="2"/>
        <v>157500</v>
      </c>
      <c r="J58" s="1" t="s">
        <v>258</v>
      </c>
    </row>
    <row r="59" spans="1:10" x14ac:dyDescent="0.25">
      <c r="A59" s="7">
        <v>44061</v>
      </c>
      <c r="B59" s="7" t="str">
        <f>+TEXT(Tabla1[[#This Row],[FECHA]],"MMMM")</f>
        <v>agosto</v>
      </c>
      <c r="C59" s="7" t="str">
        <f>+TEXT(Tabla1[[#This Row],[FECHA]],"AAAA")</f>
        <v>martes</v>
      </c>
      <c r="D59" s="1">
        <v>6116</v>
      </c>
      <c r="E59" s="1" t="s">
        <v>259</v>
      </c>
      <c r="F59" s="1" t="str">
        <f>+VLOOKUP(Tabla1[[#This Row],[PROVEEDOR]],Tabla7[],2,FALSE)</f>
        <v>900.025.648-5</v>
      </c>
      <c r="G59" s="9">
        <v>16134</v>
      </c>
      <c r="H59" s="9">
        <f t="shared" si="3"/>
        <v>3065.46</v>
      </c>
      <c r="I59" s="9">
        <f t="shared" si="2"/>
        <v>19199.46</v>
      </c>
      <c r="J59" s="1" t="s">
        <v>261</v>
      </c>
    </row>
    <row r="60" spans="1:10" x14ac:dyDescent="0.25">
      <c r="A60" s="7">
        <v>44055</v>
      </c>
      <c r="B60" s="7" t="str">
        <f>+TEXT(Tabla1[[#This Row],[FECHA]],"MMMM")</f>
        <v>agosto</v>
      </c>
      <c r="C60" s="7" t="str">
        <f>+TEXT(Tabla1[[#This Row],[FECHA]],"AAAA")</f>
        <v>miércoles</v>
      </c>
      <c r="D60" s="1" t="s">
        <v>262</v>
      </c>
      <c r="E60" s="1" t="s">
        <v>44</v>
      </c>
      <c r="F60" s="1" t="str">
        <f>+VLOOKUP(Tabla1[[#This Row],[PROVEEDOR]],Tabla7[],2,FALSE)</f>
        <v>800.242.106-2</v>
      </c>
      <c r="G60" s="9">
        <v>36092</v>
      </c>
      <c r="H60" s="9">
        <f t="shared" si="3"/>
        <v>6857.4800000000005</v>
      </c>
      <c r="I60" s="9">
        <f t="shared" si="2"/>
        <v>42949.48</v>
      </c>
      <c r="J60" s="1" t="s">
        <v>263</v>
      </c>
    </row>
    <row r="61" spans="1:10" x14ac:dyDescent="0.25">
      <c r="A61" s="7">
        <v>44056</v>
      </c>
      <c r="B61" s="7" t="str">
        <f>+TEXT(Tabla1[[#This Row],[FECHA]],"MMMM")</f>
        <v>agosto</v>
      </c>
      <c r="C61" s="7" t="str">
        <f>+TEXT(Tabla1[[#This Row],[FECHA]],"AAAA")</f>
        <v>jueves</v>
      </c>
      <c r="D61" s="1">
        <v>344394</v>
      </c>
      <c r="E61" s="1" t="s">
        <v>14</v>
      </c>
      <c r="F61" s="1" t="str">
        <f>+VLOOKUP(Tabla1[[#This Row],[PROVEEDOR]],Tabla7[],2,FALSE)</f>
        <v>42.765.696-1</v>
      </c>
      <c r="G61" s="9">
        <v>4705.8999999999996</v>
      </c>
      <c r="H61" s="9">
        <f t="shared" si="3"/>
        <v>894.12099999999998</v>
      </c>
      <c r="I61" s="9">
        <f t="shared" si="2"/>
        <v>5600.0209999999997</v>
      </c>
      <c r="J61" s="1" t="s">
        <v>264</v>
      </c>
    </row>
    <row r="62" spans="1:10" x14ac:dyDescent="0.25">
      <c r="A62" s="7">
        <v>44069</v>
      </c>
      <c r="B62" s="7" t="str">
        <f>+TEXT(Tabla1[[#This Row],[FECHA]],"MMMM")</f>
        <v>agosto</v>
      </c>
      <c r="C62" s="7" t="str">
        <f>+TEXT(Tabla1[[#This Row],[FECHA]],"AAAA")</f>
        <v>miércoles</v>
      </c>
      <c r="D62" s="1">
        <v>1613</v>
      </c>
      <c r="E62" s="1" t="s">
        <v>140</v>
      </c>
      <c r="F62" s="1" t="str">
        <f>+VLOOKUP(Tabla1[[#This Row],[PROVEEDOR]],Tabla7[],2,FALSE)</f>
        <v>900.378.955-6</v>
      </c>
      <c r="G62" s="9">
        <v>54800</v>
      </c>
      <c r="H62" s="9">
        <f t="shared" si="3"/>
        <v>10412</v>
      </c>
      <c r="I62" s="9">
        <f t="shared" si="2"/>
        <v>65212</v>
      </c>
      <c r="J62" s="1" t="s">
        <v>265</v>
      </c>
    </row>
    <row r="63" spans="1:10" x14ac:dyDescent="0.25">
      <c r="A63" s="7">
        <v>44069</v>
      </c>
      <c r="B63" s="7" t="str">
        <f>+TEXT(Tabla1[[#This Row],[FECHA]],"MMMM")</f>
        <v>agosto</v>
      </c>
      <c r="C63" s="7" t="str">
        <f>+TEXT(Tabla1[[#This Row],[FECHA]],"AAAA")</f>
        <v>miércoles</v>
      </c>
      <c r="D63" s="1" t="s">
        <v>266</v>
      </c>
      <c r="E63" s="1" t="s">
        <v>44</v>
      </c>
      <c r="F63" s="1" t="str">
        <f>+VLOOKUP(Tabla1[[#This Row],[PROVEEDOR]],Tabla7[],2,FALSE)</f>
        <v>800.242.106-2</v>
      </c>
      <c r="G63" s="9">
        <v>14622</v>
      </c>
      <c r="H63" s="9">
        <f t="shared" si="3"/>
        <v>2778.18</v>
      </c>
      <c r="I63" s="9">
        <f t="shared" si="2"/>
        <v>17400.18</v>
      </c>
      <c r="J63" s="1" t="s">
        <v>267</v>
      </c>
    </row>
    <row r="64" spans="1:10" x14ac:dyDescent="0.25">
      <c r="A64" s="7">
        <v>44107</v>
      </c>
      <c r="B64" s="7" t="str">
        <f>+TEXT(Tabla1[[#This Row],[FECHA]],"MMMM")</f>
        <v>octubre</v>
      </c>
      <c r="C64" s="7" t="str">
        <f>+TEXT(Tabla1[[#This Row],[FECHA]],"AAAA")</f>
        <v>sábado</v>
      </c>
      <c r="D64" s="1">
        <v>579913</v>
      </c>
      <c r="E64" s="1" t="s">
        <v>226</v>
      </c>
      <c r="F64" s="1" t="str">
        <f>+VLOOKUP(Tabla1[[#This Row],[PROVEEDOR]],Tabla7[],2,FALSE)</f>
        <v>800.028.761-0</v>
      </c>
      <c r="G64" s="9">
        <v>200840</v>
      </c>
      <c r="H64" s="9">
        <f t="shared" si="3"/>
        <v>38159.599999999999</v>
      </c>
      <c r="I64" s="9">
        <f t="shared" si="2"/>
        <v>238999.6</v>
      </c>
      <c r="J64" s="1" t="s">
        <v>268</v>
      </c>
    </row>
    <row r="65" spans="1:10" x14ac:dyDescent="0.25">
      <c r="A65" s="7">
        <v>44107</v>
      </c>
      <c r="B65" s="7" t="str">
        <f>+TEXT(Tabla1[[#This Row],[FECHA]],"MMMM")</f>
        <v>octubre</v>
      </c>
      <c r="C65" s="7" t="str">
        <f>+TEXT(Tabla1[[#This Row],[FECHA]],"AAAA")</f>
        <v>sábado</v>
      </c>
      <c r="D65" s="1">
        <v>422134</v>
      </c>
      <c r="E65" s="1" t="s">
        <v>226</v>
      </c>
      <c r="F65" s="1" t="str">
        <f>+VLOOKUP(Tabla1[[#This Row],[PROVEEDOR]],Tabla7[],2,FALSE)</f>
        <v>800.028.761-0</v>
      </c>
      <c r="G65" s="9">
        <v>32773</v>
      </c>
      <c r="H65" s="9">
        <f t="shared" si="3"/>
        <v>6226.87</v>
      </c>
      <c r="I65" s="9">
        <f t="shared" si="2"/>
        <v>38999.870000000003</v>
      </c>
      <c r="J65" s="1" t="s">
        <v>269</v>
      </c>
    </row>
    <row r="66" spans="1:10" x14ac:dyDescent="0.25">
      <c r="A66" s="7">
        <v>44109</v>
      </c>
      <c r="B66" s="7" t="str">
        <f>+TEXT(Tabla1[[#This Row],[FECHA]],"MMMM")</f>
        <v>octubre</v>
      </c>
      <c r="C66" s="7" t="str">
        <f>+TEXT(Tabla1[[#This Row],[FECHA]],"AAAA")</f>
        <v>lunes</v>
      </c>
      <c r="D66" s="1">
        <v>44553</v>
      </c>
      <c r="E66" s="1" t="s">
        <v>229</v>
      </c>
      <c r="F66" s="1" t="str">
        <f>+VLOOKUP(Tabla1[[#This Row],[PROVEEDOR]],Tabla7[],2,FALSE)</f>
        <v>860.075.208-7</v>
      </c>
      <c r="G66" s="9">
        <v>118487</v>
      </c>
      <c r="H66" s="9">
        <f t="shared" si="3"/>
        <v>22512.53</v>
      </c>
      <c r="I66" s="9">
        <f t="shared" si="2"/>
        <v>140999.53</v>
      </c>
      <c r="J66" s="1" t="s">
        <v>270</v>
      </c>
    </row>
    <row r="67" spans="1:10" x14ac:dyDescent="0.25">
      <c r="A67" s="7">
        <v>44136</v>
      </c>
      <c r="B67" s="7" t="str">
        <f>+TEXT(Tabla1[[#This Row],[FECHA]],"MMMM")</f>
        <v>noviembre</v>
      </c>
      <c r="C67" s="7" t="str">
        <f>+TEXT(Tabla1[[#This Row],[FECHA]],"AAAA")</f>
        <v>domingo</v>
      </c>
      <c r="D67" s="1">
        <v>12960</v>
      </c>
      <c r="E67" s="1" t="s">
        <v>271</v>
      </c>
      <c r="F67" s="1" t="str">
        <f>+VLOOKUP(Tabla1[[#This Row],[PROVEEDOR]],Tabla7[],2,FALSE)</f>
        <v>900.704.790-7</v>
      </c>
      <c r="G67" s="9">
        <v>58824</v>
      </c>
      <c r="H67" s="9">
        <f t="shared" si="3"/>
        <v>11176.56</v>
      </c>
      <c r="I67" s="9">
        <f t="shared" si="2"/>
        <v>70000.56</v>
      </c>
      <c r="J67" s="1" t="s">
        <v>272</v>
      </c>
    </row>
    <row r="68" spans="1:10" x14ac:dyDescent="0.25">
      <c r="A68" s="7">
        <v>44148</v>
      </c>
      <c r="B68" s="7" t="str">
        <f>+TEXT(Tabla1[[#This Row],[FECHA]],"MMMM")</f>
        <v>noviembre</v>
      </c>
      <c r="C68" s="7" t="str">
        <f>+TEXT(Tabla1[[#This Row],[FECHA]],"AAAA")</f>
        <v>viernes</v>
      </c>
      <c r="D68" s="1">
        <v>3401</v>
      </c>
      <c r="E68" s="1" t="s">
        <v>229</v>
      </c>
      <c r="F68" s="1" t="str">
        <f>+VLOOKUP(Tabla1[[#This Row],[PROVEEDOR]],Tabla7[],2,FALSE)</f>
        <v>860.075.208-7</v>
      </c>
      <c r="G68" s="9">
        <v>150450</v>
      </c>
      <c r="H68" s="9">
        <f t="shared" si="3"/>
        <v>28585.5</v>
      </c>
      <c r="I68" s="9">
        <f t="shared" si="2"/>
        <v>179035.5</v>
      </c>
      <c r="J68" s="1" t="s">
        <v>274</v>
      </c>
    </row>
    <row r="69" spans="1:10" x14ac:dyDescent="0.25">
      <c r="A69" s="7">
        <v>44156</v>
      </c>
      <c r="B69" s="7" t="str">
        <f>+TEXT(Tabla1[[#This Row],[FECHA]],"MMMM")</f>
        <v>noviembre</v>
      </c>
      <c r="C69" s="7" t="str">
        <f>+TEXT(Tabla1[[#This Row],[FECHA]],"AAAA")</f>
        <v>sábado</v>
      </c>
      <c r="D69" s="1">
        <v>5501</v>
      </c>
      <c r="E69" s="1" t="s">
        <v>229</v>
      </c>
      <c r="F69" s="1" t="str">
        <f>+VLOOKUP(Tabla1[[#This Row],[PROVEEDOR]],Tabla7[],2,FALSE)</f>
        <v>860.075.208-7</v>
      </c>
      <c r="G69" s="9">
        <v>66429</v>
      </c>
      <c r="H69" s="9">
        <f t="shared" si="3"/>
        <v>12621.51</v>
      </c>
      <c r="I69" s="9">
        <f t="shared" si="2"/>
        <v>79050.509999999995</v>
      </c>
      <c r="J69" s="1" t="s">
        <v>275</v>
      </c>
    </row>
    <row r="70" spans="1:10" x14ac:dyDescent="0.25">
      <c r="A70" s="7">
        <v>44156</v>
      </c>
      <c r="B70" s="7" t="str">
        <f>+TEXT(Tabla1[[#This Row],[FECHA]],"MMMM")</f>
        <v>noviembre</v>
      </c>
      <c r="C70" s="7" t="str">
        <f>+TEXT(Tabla1[[#This Row],[FECHA]],"AAAA")</f>
        <v>sábado</v>
      </c>
      <c r="D70" s="1">
        <v>429374</v>
      </c>
      <c r="E70" s="1" t="s">
        <v>226</v>
      </c>
      <c r="F70" s="1" t="str">
        <f>+VLOOKUP(Tabla1[[#This Row],[PROVEEDOR]],Tabla7[],2,FALSE)</f>
        <v>800.028.761-0</v>
      </c>
      <c r="G70" s="9">
        <v>39328</v>
      </c>
      <c r="H70" s="9">
        <f t="shared" si="3"/>
        <v>7472.32</v>
      </c>
      <c r="I70" s="9">
        <f t="shared" si="2"/>
        <v>46800.32</v>
      </c>
      <c r="J70" s="1" t="s">
        <v>276</v>
      </c>
    </row>
    <row r="71" spans="1:10" x14ac:dyDescent="0.25">
      <c r="A71" s="7">
        <v>44162</v>
      </c>
      <c r="B71" s="7" t="str">
        <f>+TEXT(Tabla1[[#This Row],[FECHA]],"MMMM")</f>
        <v>noviembre</v>
      </c>
      <c r="C71" s="7" t="str">
        <f>+TEXT(Tabla1[[#This Row],[FECHA]],"AAAA")</f>
        <v>viernes</v>
      </c>
      <c r="D71" s="1">
        <v>4003</v>
      </c>
      <c r="E71" s="1" t="s">
        <v>217</v>
      </c>
      <c r="F71" s="1" t="str">
        <f>+VLOOKUP(Tabla1[[#This Row],[PROVEEDOR]],Tabla7[],2,FALSE)</f>
        <v>8.228.782-0</v>
      </c>
      <c r="G71" s="9">
        <v>176470.59</v>
      </c>
      <c r="H71" s="9">
        <f t="shared" si="3"/>
        <v>33529.412100000001</v>
      </c>
      <c r="I71" s="9">
        <f t="shared" si="2"/>
        <v>210000.00209999998</v>
      </c>
      <c r="J71" s="1" t="s">
        <v>277</v>
      </c>
    </row>
    <row r="72" spans="1:10" x14ac:dyDescent="0.25">
      <c r="A72" s="7">
        <v>44224</v>
      </c>
      <c r="B72" s="7" t="str">
        <f>+TEXT(Tabla1[[#This Row],[FECHA]],"MMMM")</f>
        <v>enero</v>
      </c>
      <c r="C72" s="7" t="str">
        <f>+TEXT(Tabla1[[#This Row],[FECHA]],"AAAA")</f>
        <v>jueves</v>
      </c>
      <c r="D72" s="1" t="s">
        <v>278</v>
      </c>
      <c r="E72" s="1" t="s">
        <v>229</v>
      </c>
      <c r="F72" s="1" t="str">
        <f>+VLOOKUP(Tabla1[[#This Row],[PROVEEDOR]],Tabla7[],2,FALSE)</f>
        <v>860.075.208-7</v>
      </c>
      <c r="G72" s="9">
        <v>156092.44</v>
      </c>
      <c r="H72" s="9">
        <f t="shared" si="3"/>
        <v>29657.563600000001</v>
      </c>
      <c r="I72" s="9">
        <f t="shared" si="2"/>
        <v>185750.0036</v>
      </c>
      <c r="J72" s="1" t="s">
        <v>279</v>
      </c>
    </row>
    <row r="73" spans="1:10" x14ac:dyDescent="0.25">
      <c r="A73" s="7">
        <v>44255</v>
      </c>
      <c r="B73" s="7" t="str">
        <f>+TEXT(Tabla1[[#This Row],[FECHA]],"MMMM")</f>
        <v>febrero</v>
      </c>
      <c r="C73" s="7" t="str">
        <f>+TEXT(Tabla1[[#This Row],[FECHA]],"AAAA")</f>
        <v>domingo</v>
      </c>
      <c r="D73" s="1" t="s">
        <v>287</v>
      </c>
      <c r="E73" s="1" t="s">
        <v>285</v>
      </c>
      <c r="F73" s="1" t="str">
        <f>+VLOOKUP(Tabla1[[#This Row],[PROVEEDOR]],Tabla7[],2,FALSE)</f>
        <v>71.773,073-2</v>
      </c>
      <c r="G73" s="9">
        <v>327731.09000000003</v>
      </c>
      <c r="H73" s="9">
        <f t="shared" si="3"/>
        <v>62268.907100000004</v>
      </c>
      <c r="I73" s="9">
        <f t="shared" si="2"/>
        <v>389999.99710000004</v>
      </c>
      <c r="J73" s="1" t="s">
        <v>288</v>
      </c>
    </row>
    <row r="74" spans="1:10" x14ac:dyDescent="0.25">
      <c r="A74" s="7"/>
      <c r="B74" s="7"/>
      <c r="C74" s="7"/>
      <c r="G74" s="9"/>
      <c r="H74" s="9"/>
      <c r="I74" s="9"/>
    </row>
    <row r="75" spans="1:10" x14ac:dyDescent="0.25">
      <c r="A75" s="7"/>
      <c r="B75" s="7"/>
      <c r="C75" s="7"/>
      <c r="G75" s="9"/>
      <c r="H75" s="9"/>
      <c r="I75" s="9"/>
    </row>
    <row r="76" spans="1:10" x14ac:dyDescent="0.25">
      <c r="A76" s="7"/>
      <c r="B76" s="7"/>
      <c r="C76" s="7"/>
      <c r="G76" s="9"/>
      <c r="H76" s="9"/>
      <c r="I76" s="9"/>
    </row>
    <row r="77" spans="1:10" x14ac:dyDescent="0.25">
      <c r="A77" s="7"/>
      <c r="B77" s="7"/>
      <c r="C77" s="7"/>
      <c r="G77" s="9"/>
      <c r="H77" s="9"/>
      <c r="I77" s="9"/>
    </row>
    <row r="78" spans="1:10" x14ac:dyDescent="0.25">
      <c r="A78" s="7"/>
      <c r="B78" s="7"/>
      <c r="C78" s="7"/>
      <c r="G78" s="9"/>
      <c r="H78" s="9"/>
      <c r="I78" s="9"/>
    </row>
    <row r="79" spans="1:10" x14ac:dyDescent="0.25">
      <c r="A79" s="7"/>
      <c r="B79" s="7"/>
      <c r="C79" s="7"/>
      <c r="G79" s="9"/>
      <c r="H79" s="9"/>
      <c r="I79" s="9"/>
    </row>
    <row r="80" spans="1:10" x14ac:dyDescent="0.25">
      <c r="A80" s="7"/>
      <c r="B80" s="7"/>
      <c r="C80" s="7"/>
      <c r="G80" s="9"/>
      <c r="H80" s="9"/>
      <c r="I80" s="9"/>
    </row>
    <row r="81" spans="8:9" x14ac:dyDescent="0.25">
      <c r="H81" s="8">
        <f t="shared" si="3"/>
        <v>0</v>
      </c>
      <c r="I81" s="8">
        <f t="shared" ref="I81:I88" si="4">+G81+H81</f>
        <v>0</v>
      </c>
    </row>
    <row r="82" spans="8:9" x14ac:dyDescent="0.25">
      <c r="H82" s="8">
        <f t="shared" si="3"/>
        <v>0</v>
      </c>
      <c r="I82" s="8">
        <f t="shared" si="4"/>
        <v>0</v>
      </c>
    </row>
    <row r="83" spans="8:9" x14ac:dyDescent="0.25">
      <c r="H83" s="8">
        <f t="shared" si="3"/>
        <v>0</v>
      </c>
      <c r="I83" s="8">
        <f t="shared" si="4"/>
        <v>0</v>
      </c>
    </row>
    <row r="84" spans="8:9" x14ac:dyDescent="0.25">
      <c r="H84" s="8">
        <f t="shared" si="3"/>
        <v>0</v>
      </c>
      <c r="I84" s="8">
        <f t="shared" si="4"/>
        <v>0</v>
      </c>
    </row>
    <row r="85" spans="8:9" x14ac:dyDescent="0.25">
      <c r="H85" s="8">
        <f t="shared" si="3"/>
        <v>0</v>
      </c>
      <c r="I85" s="8">
        <f t="shared" si="4"/>
        <v>0</v>
      </c>
    </row>
    <row r="86" spans="8:9" x14ac:dyDescent="0.25">
      <c r="H86" s="8">
        <f t="shared" si="3"/>
        <v>0</v>
      </c>
      <c r="I86" s="8">
        <f t="shared" si="4"/>
        <v>0</v>
      </c>
    </row>
    <row r="87" spans="8:9" x14ac:dyDescent="0.25">
      <c r="H87" s="8">
        <f t="shared" si="3"/>
        <v>0</v>
      </c>
      <c r="I87" s="8">
        <f t="shared" si="4"/>
        <v>0</v>
      </c>
    </row>
    <row r="88" spans="8:9" x14ac:dyDescent="0.25">
      <c r="H88" s="8">
        <f t="shared" si="3"/>
        <v>0</v>
      </c>
      <c r="I88" s="8">
        <f t="shared" si="4"/>
        <v>0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46"/>
  <sheetViews>
    <sheetView topLeftCell="A5" workbookViewId="0">
      <selection activeCell="A19" sqref="A19"/>
    </sheetView>
  </sheetViews>
  <sheetFormatPr baseColWidth="10" defaultRowHeight="14.4" x14ac:dyDescent="0.3"/>
  <cols>
    <col min="1" max="1" width="35.6640625" bestFit="1" customWidth="1"/>
    <col min="2" max="2" width="15.109375" customWidth="1"/>
    <col min="3" max="3" width="23.33203125" bestFit="1" customWidth="1"/>
    <col min="4" max="5" width="14.109375" bestFit="1" customWidth="1"/>
    <col min="6" max="6" width="12.5546875" bestFit="1" customWidth="1"/>
  </cols>
  <sheetData>
    <row r="2" spans="1:6" ht="23.4" x14ac:dyDescent="0.45">
      <c r="A2" s="80" t="s">
        <v>213</v>
      </c>
      <c r="B2" s="80"/>
      <c r="C2" s="80"/>
      <c r="D2" s="80"/>
      <c r="E2" s="80"/>
      <c r="F2" s="80"/>
    </row>
    <row r="3" spans="1:6" ht="23.4" x14ac:dyDescent="0.45">
      <c r="A3" s="80" t="s">
        <v>204</v>
      </c>
      <c r="B3" s="80"/>
      <c r="C3" s="80"/>
      <c r="D3" s="80"/>
      <c r="E3" s="80"/>
      <c r="F3" s="80"/>
    </row>
    <row r="4" spans="1:6" ht="23.4" x14ac:dyDescent="0.45">
      <c r="A4" s="40"/>
      <c r="B4" s="41" t="s">
        <v>212</v>
      </c>
      <c r="C4" s="54">
        <f>+SUM(Tabla8[2018])</f>
        <v>0</v>
      </c>
      <c r="D4" s="54">
        <f>+SUM(Tabla8[2019])</f>
        <v>0</v>
      </c>
      <c r="E4" s="54">
        <f>+SUM(Tabla8[2020])</f>
        <v>0</v>
      </c>
      <c r="F4" s="54">
        <f>+SUM(Tabla8[2021])</f>
        <v>0</v>
      </c>
    </row>
    <row r="5" spans="1:6" x14ac:dyDescent="0.3">
      <c r="A5" s="16" t="s">
        <v>214</v>
      </c>
      <c r="B5" s="46" t="s">
        <v>211</v>
      </c>
      <c r="C5" s="46" t="s">
        <v>207</v>
      </c>
      <c r="D5" s="46" t="s">
        <v>208</v>
      </c>
      <c r="E5" s="46" t="s">
        <v>209</v>
      </c>
      <c r="F5" s="15" t="s">
        <v>210</v>
      </c>
    </row>
    <row r="6" spans="1:6" x14ac:dyDescent="0.3">
      <c r="A6" s="47" t="str">
        <f>B.D!F42</f>
        <v>CONQUILLANTAS</v>
      </c>
      <c r="B6" s="52">
        <f>+SUM(Tabla8[[#This Row],[2018]:[2021]])</f>
        <v>0</v>
      </c>
      <c r="C6" s="48">
        <f>+SUMIFS(COMPRAS!$I$4:$I$80,COMPRAS!$E$4:$E$80,Tabla8[[#This Row],[PROV/AÑO]],COMPRAS!$C$4:$C$80,Tabla8[[#Headers],[2018]])</f>
        <v>0</v>
      </c>
      <c r="D6" s="48">
        <f>+SUMIFS(COMPRAS!I42:I118,COMPRAS!E42:E118,Tabla8[[#This Row],[PROV/AÑO]],COMPRAS!C42:C118,Tabla8[[#Headers],[2019]])</f>
        <v>0</v>
      </c>
      <c r="E6" s="48">
        <f>+SUMIFS(COMPRAS!$I$4:$I$80,COMPRAS!$E$4:$E$80,Tabla8[[#This Row],[PROV/AÑO]],COMPRAS!$C$4:$C$80,Tabla8[[#Headers],[2020]])</f>
        <v>0</v>
      </c>
      <c r="F6" s="48">
        <f>+SUMIFS(COMPRAS!$I$4:$I$80,COMPRAS!$E$4:$E$80,Tabla8[[#This Row],[PROV/AÑO]],COMPRAS!$C$4:$C$80,Tabla8[[#Headers],[2021]])</f>
        <v>0</v>
      </c>
    </row>
    <row r="7" spans="1:6" x14ac:dyDescent="0.3">
      <c r="A7" s="47">
        <f>B.D!F43</f>
        <v>0</v>
      </c>
      <c r="B7" s="52">
        <f>+SUM(Tabla8[[#This Row],[2018]:[2021]])</f>
        <v>0</v>
      </c>
      <c r="C7" s="48">
        <f>+SUMIFS(COMPRAS!$I$4:$I$80,COMPRAS!$E$4:$E$80,Tabla8[[#This Row],[PROV/AÑO]],COMPRAS!$C$4:$C$80,Tabla8[[#Headers],[2018]])</f>
        <v>0</v>
      </c>
      <c r="D7" s="48">
        <f>+SUMIFS(COMPRAS!I43:I119,COMPRAS!E43:E119,Tabla8[[#This Row],[PROV/AÑO]],COMPRAS!C43:C119,Tabla8[[#Headers],[2019]])</f>
        <v>0</v>
      </c>
      <c r="E7" s="48">
        <f>+SUMIFS(COMPRAS!$I$4:$I$80,COMPRAS!$E$4:$E$80,Tabla8[[#This Row],[PROV/AÑO]],COMPRAS!$C$4:$C$80,Tabla8[[#Headers],[2020]])</f>
        <v>0</v>
      </c>
      <c r="F7" s="49">
        <f>+SUMIFS(COMPRAS!$I$4:$I$80,COMPRAS!$E$4:$E$80,Tabla8[[#This Row],[PROV/AÑO]],COMPRAS!$C$4:$C$80,Tabla8[[#Headers],[2021]])</f>
        <v>0</v>
      </c>
    </row>
    <row r="8" spans="1:6" x14ac:dyDescent="0.3">
      <c r="A8" s="47">
        <f>B.D!F44</f>
        <v>0</v>
      </c>
      <c r="B8" s="52">
        <f>+SUM(Tabla8[[#This Row],[2018]:[2021]])</f>
        <v>0</v>
      </c>
      <c r="C8" s="48">
        <f>+SUMIFS(COMPRAS!$I$4:$I$80,COMPRAS!$E$4:$E$80,Tabla8[[#This Row],[PROV/AÑO]],COMPRAS!$C$4:$C$80,Tabla8[[#Headers],[2018]])</f>
        <v>0</v>
      </c>
      <c r="D8" s="48">
        <f>+SUMIFS(COMPRAS!I44:I120,COMPRAS!E44:E120,Tabla8[[#This Row],[PROV/AÑO]],COMPRAS!C44:C120,Tabla8[[#Headers],[2019]])</f>
        <v>0</v>
      </c>
      <c r="E8" s="48">
        <f>+SUMIFS(COMPRAS!$I$4:$I$80,COMPRAS!$E$4:$E$80,Tabla8[[#This Row],[PROV/AÑO]],COMPRAS!$C$4:$C$80,Tabla8[[#Headers],[2020]])</f>
        <v>0</v>
      </c>
      <c r="F8" s="49">
        <f>+SUMIFS(COMPRAS!$I$4:$I$80,COMPRAS!$E$4:$E$80,Tabla8[[#This Row],[PROV/AÑO]],COMPRAS!$C$4:$C$80,Tabla8[[#Headers],[2021]])</f>
        <v>0</v>
      </c>
    </row>
    <row r="9" spans="1:6" x14ac:dyDescent="0.3">
      <c r="A9" s="47" t="str">
        <f>B.D!F30</f>
        <v>ALMACEN PLASTITELAS S.A</v>
      </c>
      <c r="B9" s="52">
        <f>+SUM(Tabla8[[#This Row],[2018]:[2021]])</f>
        <v>0</v>
      </c>
      <c r="C9" s="48">
        <f>+SUMIFS(COMPRAS!$I$4:$I$80,COMPRAS!$E$4:$E$80,Tabla8[[#This Row],[PROV/AÑO]],COMPRAS!$C$4:$C$80,Tabla8[[#Headers],[2018]])</f>
        <v>0</v>
      </c>
      <c r="D9" s="48">
        <f>+SUMIFS(COMPRAS!I30:I106,COMPRAS!E30:E106,Tabla8[[#This Row],[PROV/AÑO]],COMPRAS!C30:C106,Tabla8[[#Headers],[2019]])</f>
        <v>0</v>
      </c>
      <c r="E9" s="48">
        <f>+SUMIFS(COMPRAS!$I$4:$I$80,COMPRAS!$E$4:$E$80,Tabla8[[#This Row],[PROV/AÑO]],COMPRAS!$C$4:$C$80,Tabla8[[#Headers],[2020]])</f>
        <v>0</v>
      </c>
      <c r="F9" s="49">
        <f>+SUMIFS(COMPRAS!$I$4:$I$80,COMPRAS!$E$4:$E$80,Tabla8[[#This Row],[PROV/AÑO]],COMPRAS!$C$4:$C$80,Tabla8[[#Headers],[2021]])</f>
        <v>0</v>
      </c>
    </row>
    <row r="10" spans="1:6" x14ac:dyDescent="0.3">
      <c r="A10" s="47" t="str">
        <f>B.D!F37</f>
        <v>ALMACEN RAMO ELECTRICOS S.A.S</v>
      </c>
      <c r="B10" s="52">
        <f>+SUM(Tabla8[[#This Row],[2018]:[2021]])</f>
        <v>0</v>
      </c>
      <c r="C10" s="48">
        <f>+SUMIFS(COMPRAS!$I$4:$I$80,COMPRAS!$E$4:$E$80,Tabla8[[#This Row],[PROV/AÑO]],COMPRAS!$C$4:$C$80,Tabla8[[#Headers],[2018]])</f>
        <v>0</v>
      </c>
      <c r="D10" s="48">
        <f>+SUMIFS(COMPRAS!I37:I113,COMPRAS!E37:E113,Tabla8[[#This Row],[PROV/AÑO]],COMPRAS!C37:C113,Tabla8[[#Headers],[2019]])</f>
        <v>0</v>
      </c>
      <c r="E10" s="48">
        <f>+SUMIFS(COMPRAS!$I$4:$I$80,COMPRAS!$E$4:$E$80,Tabla8[[#This Row],[PROV/AÑO]],COMPRAS!$C$4:$C$80,Tabla8[[#Headers],[2020]])</f>
        <v>0</v>
      </c>
      <c r="F10" s="49">
        <f>+SUMIFS(COMPRAS!$I$4:$I$80,COMPRAS!$E$4:$E$80,Tabla8[[#This Row],[PROV/AÑO]],COMPRAS!$C$4:$C$80,Tabla8[[#Headers],[2021]])</f>
        <v>0</v>
      </c>
    </row>
    <row r="11" spans="1:6" x14ac:dyDescent="0.3">
      <c r="A11" s="47" t="str">
        <f>B.D!F18</f>
        <v>ALMACENES CORONA S.A.S</v>
      </c>
      <c r="B11" s="52">
        <f>+SUM(Tabla8[[#This Row],[2018]:[2021]])</f>
        <v>0</v>
      </c>
      <c r="C11" s="48">
        <f>+SUMIFS(COMPRAS!$I$4:$I$80,COMPRAS!$E$4:$E$80,Tabla8[[#This Row],[PROV/AÑO]],COMPRAS!$C$4:$C$80,Tabla8[[#Headers],[2018]])</f>
        <v>0</v>
      </c>
      <c r="D11" s="48">
        <f>+SUMIFS(COMPRAS!I18:I57,COMPRAS!E18:E57,Tabla8[[#This Row],[PROV/AÑO]],COMPRAS!C18:C57,Tabla8[[#Headers],[2019]])</f>
        <v>0</v>
      </c>
      <c r="E11" s="48">
        <f>+SUMIFS(COMPRAS!$I$4:$I$80,COMPRAS!$E$4:$E$80,Tabla8[[#This Row],[PROV/AÑO]],COMPRAS!$C$4:$C$80,Tabla8[[#Headers],[2020]])</f>
        <v>0</v>
      </c>
      <c r="F11" s="49">
        <f>+SUMIFS(COMPRAS!$I$4:$I$80,COMPRAS!$E$4:$E$80,Tabla8[[#This Row],[PROV/AÑO]],COMPRAS!$C$4:$C$80,Tabla8[[#Headers],[2021]])</f>
        <v>0</v>
      </c>
    </row>
    <row r="12" spans="1:6" x14ac:dyDescent="0.3">
      <c r="A12" s="47" t="str">
        <f>B.D!F13</f>
        <v>ANDRES FERNEY PUERTA</v>
      </c>
      <c r="B12" s="52">
        <f>+SUM(Tabla8[[#This Row],[2018]:[2021]])</f>
        <v>0</v>
      </c>
      <c r="C12" s="48">
        <f>+SUMIFS(COMPRAS!$I$4:$I$80,COMPRAS!$E$4:$E$80,Tabla8[[#This Row],[PROV/AÑO]],COMPRAS!$C$4:$C$80,Tabla8[[#Headers],[2018]])</f>
        <v>0</v>
      </c>
      <c r="D12" s="48">
        <f>+SUMIFS(COMPRAS!I13:I52,COMPRAS!E13:E52,Tabla8[[#This Row],[PROV/AÑO]],COMPRAS!C13:C52,Tabla8[[#Headers],[2019]])</f>
        <v>0</v>
      </c>
      <c r="E12" s="48">
        <f>+SUMIFS(COMPRAS!$I$4:$I$80,COMPRAS!$E$4:$E$80,Tabla8[[#This Row],[PROV/AÑO]],COMPRAS!$C$4:$C$80,Tabla8[[#Headers],[2020]])</f>
        <v>0</v>
      </c>
      <c r="F12" s="49">
        <f>+SUMIFS(COMPRAS!$I$4:$I$80,COMPRAS!$E$4:$E$80,Tabla8[[#This Row],[PROV/AÑO]],COMPRAS!$C$4:$C$80,Tabla8[[#Headers],[2021]])</f>
        <v>0</v>
      </c>
    </row>
    <row r="13" spans="1:6" x14ac:dyDescent="0.3">
      <c r="A13" s="47" t="str">
        <f>B.D!F23</f>
        <v>ANDRES FERNEY PUERTA</v>
      </c>
      <c r="B13" s="52">
        <f>+SUM(Tabla8[[#This Row],[2018]:[2021]])</f>
        <v>0</v>
      </c>
      <c r="C13" s="48">
        <f>+SUMIFS(COMPRAS!$I$4:$I$80,COMPRAS!$E$4:$E$80,Tabla8[[#This Row],[PROV/AÑO]],COMPRAS!$C$4:$C$80,Tabla8[[#Headers],[2018]])</f>
        <v>0</v>
      </c>
      <c r="D13" s="48">
        <f>+SUMIFS(COMPRAS!I23:I62,COMPRAS!E23:E62,Tabla8[[#This Row],[PROV/AÑO]],COMPRAS!C23:C62,Tabla8[[#Headers],[2019]])</f>
        <v>0</v>
      </c>
      <c r="E13" s="48">
        <f>+SUMIFS(COMPRAS!$I$4:$I$80,COMPRAS!$E$4:$E$80,Tabla8[[#This Row],[PROV/AÑO]],COMPRAS!$C$4:$C$80,Tabla8[[#Headers],[2020]])</f>
        <v>0</v>
      </c>
      <c r="F13" s="49">
        <f>+SUMIFS(COMPRAS!$I$4:$I$80,COMPRAS!$E$4:$E$80,Tabla8[[#This Row],[PROV/AÑO]],COMPRAS!$C$4:$C$80,Tabla8[[#Headers],[2021]])</f>
        <v>0</v>
      </c>
    </row>
    <row r="14" spans="1:6" x14ac:dyDescent="0.3">
      <c r="A14" s="47" t="str">
        <f>B.D!F11</f>
        <v>AREA TUNNING LUJOS Y SONIDOS S.A.S</v>
      </c>
      <c r="B14" s="52">
        <f>+SUM(Tabla8[[#This Row],[2018]:[2021]])</f>
        <v>0</v>
      </c>
      <c r="C14" s="48">
        <f>+SUMIFS(COMPRAS!$I$4:$I$80,COMPRAS!$E$4:$E$80,Tabla8[[#This Row],[PROV/AÑO]],COMPRAS!$C$4:$C$80,Tabla8[[#Headers],[2018]])</f>
        <v>0</v>
      </c>
      <c r="D14" s="48">
        <f>+SUMIFS(COMPRAS!I11:I50,COMPRAS!E11:E50,Tabla8[[#This Row],[PROV/AÑO]],COMPRAS!C11:C50,Tabla8[[#Headers],[2019]])</f>
        <v>0</v>
      </c>
      <c r="E14" s="48">
        <f>+SUMIFS(COMPRAS!$I$4:$I$80,COMPRAS!$E$4:$E$80,Tabla8[[#This Row],[PROV/AÑO]],COMPRAS!$C$4:$C$80,Tabla8[[#Headers],[2020]])</f>
        <v>0</v>
      </c>
      <c r="F14" s="49">
        <f>+SUMIFS(COMPRAS!$I$4:$I$80,COMPRAS!$E$4:$E$80,Tabla8[[#This Row],[PROV/AÑO]],COMPRAS!$C$4:$C$80,Tabla8[[#Headers],[2021]])</f>
        <v>0</v>
      </c>
    </row>
    <row r="15" spans="1:6" x14ac:dyDescent="0.3">
      <c r="A15" s="47" t="str">
        <f>B.D!F20</f>
        <v>AUTOLATAS S.A.S</v>
      </c>
      <c r="B15" s="52">
        <f>+SUM(Tabla8[[#This Row],[2018]:[2021]])</f>
        <v>0</v>
      </c>
      <c r="C15" s="48">
        <f>+SUMIFS(COMPRAS!$I$4:$I$80,COMPRAS!$E$4:$E$80,Tabla8[[#This Row],[PROV/AÑO]],COMPRAS!$C$4:$C$80,Tabla8[[#Headers],[2018]])</f>
        <v>0</v>
      </c>
      <c r="D15" s="48">
        <f>+SUMIFS(COMPRAS!I20:I59,COMPRAS!E20:E59,Tabla8[[#This Row],[PROV/AÑO]],COMPRAS!C20:C59,Tabla8[[#Headers],[2019]])</f>
        <v>0</v>
      </c>
      <c r="E15" s="48">
        <f>+SUMIFS(COMPRAS!$I$4:$I$80,COMPRAS!$E$4:$E$80,Tabla8[[#This Row],[PROV/AÑO]],COMPRAS!$C$4:$C$80,Tabla8[[#Headers],[2020]])</f>
        <v>0</v>
      </c>
      <c r="F15" s="49">
        <f>+SUMIFS(COMPRAS!$I$4:$I$80,COMPRAS!$E$4:$E$80,Tabla8[[#This Row],[PROV/AÑO]],COMPRAS!$C$4:$C$80,Tabla8[[#Headers],[2021]])</f>
        <v>0</v>
      </c>
    </row>
    <row r="16" spans="1:6" x14ac:dyDescent="0.3">
      <c r="A16" s="47" t="str">
        <f>B.D!F8</f>
        <v>CENCOSUD COLOMBIA S.A</v>
      </c>
      <c r="B16" s="52">
        <f>+SUM(Tabla8[[#This Row],[2018]:[2021]])</f>
        <v>0</v>
      </c>
      <c r="C16" s="48">
        <f>+SUMIFS(COMPRAS!$I$4:$I$80,COMPRAS!$E$4:$E$80,Tabla8[[#This Row],[PROV/AÑO]],COMPRAS!$C$4:$C$80,Tabla8[[#Headers],[2018]])</f>
        <v>0</v>
      </c>
      <c r="D16" s="48">
        <f>+SUMIFS(COMPRAS!I8:I47,COMPRAS!E8:E47,Tabla8[[#This Row],[PROV/AÑO]],COMPRAS!C8:C47,Tabla8[[#Headers],[2019]])</f>
        <v>0</v>
      </c>
      <c r="E16" s="48">
        <f>+SUMIFS(COMPRAS!$I$4:$I$80,COMPRAS!$E$4:$E$80,Tabla8[[#This Row],[PROV/AÑO]],COMPRAS!$C$4:$C$80,Tabla8[[#Headers],[2020]])</f>
        <v>0</v>
      </c>
      <c r="F16" s="49">
        <f>+SUMIFS(COMPRAS!$I$4:$I$80,COMPRAS!$E$4:$E$80,Tabla8[[#This Row],[PROV/AÑO]],COMPRAS!$C$4:$C$80,Tabla8[[#Headers],[2021]])</f>
        <v>0</v>
      </c>
    </row>
    <row r="17" spans="1:6" x14ac:dyDescent="0.3">
      <c r="A17" s="47" t="str">
        <f>B.D!F26</f>
        <v>CENTRAL DE AMORTIGUADORES</v>
      </c>
      <c r="B17" s="52">
        <f>+SUM(Tabla8[[#This Row],[2018]:[2021]])</f>
        <v>0</v>
      </c>
      <c r="C17" s="48">
        <f>+SUMIFS(COMPRAS!$I$4:$I$80,COMPRAS!$E$4:$E$80,Tabla8[[#This Row],[PROV/AÑO]],COMPRAS!$C$4:$C$80,Tabla8[[#Headers],[2018]])</f>
        <v>0</v>
      </c>
      <c r="D17" s="48">
        <f>+SUMIFS(COMPRAS!I26:I65,COMPRAS!E26:E65,Tabla8[[#This Row],[PROV/AÑO]],COMPRAS!C26:C65,Tabla8[[#Headers],[2019]])</f>
        <v>0</v>
      </c>
      <c r="E17" s="48">
        <f>+SUMIFS(COMPRAS!$I$4:$I$80,COMPRAS!$E$4:$E$80,Tabla8[[#This Row],[PROV/AÑO]],COMPRAS!$C$4:$C$80,Tabla8[[#Headers],[2020]])</f>
        <v>0</v>
      </c>
      <c r="F17" s="49">
        <f>+SUMIFS(COMPRAS!$I$4:$I$80,COMPRAS!$E$4:$E$80,Tabla8[[#This Row],[PROV/AÑO]],COMPRAS!$C$4:$C$80,Tabla8[[#Headers],[2021]])</f>
        <v>0</v>
      </c>
    </row>
    <row r="18" spans="1:6" x14ac:dyDescent="0.3">
      <c r="A18" s="47" t="str">
        <f>B.D!F12</f>
        <v>CENTRO DE SERVICIOS BELLO S.A.S.</v>
      </c>
      <c r="B18" s="52">
        <f>+SUM(Tabla8[[#This Row],[2018]:[2021]])</f>
        <v>0</v>
      </c>
      <c r="C18" s="48">
        <f>+SUMIFS(COMPRAS!$I$4:$I$80,COMPRAS!$E$4:$E$80,Tabla8[[#This Row],[PROV/AÑO]],COMPRAS!$C$4:$C$80,Tabla8[[#Headers],[2018]])</f>
        <v>0</v>
      </c>
      <c r="D18" s="48">
        <f>+SUMIFS(COMPRAS!I12:I51,COMPRAS!E12:E51,Tabla8[[#This Row],[PROV/AÑO]],COMPRAS!C12:C51,Tabla8[[#Headers],[2019]])</f>
        <v>0</v>
      </c>
      <c r="E18" s="48">
        <f>+SUMIFS(COMPRAS!$I$4:$I$80,COMPRAS!$E$4:$E$80,Tabla8[[#This Row],[PROV/AÑO]],COMPRAS!$C$4:$C$80,Tabla8[[#Headers],[2020]])</f>
        <v>0</v>
      </c>
      <c r="F18" s="49">
        <f>+SUMIFS(COMPRAS!$I$4:$I$80,COMPRAS!$E$4:$E$80,Tabla8[[#This Row],[PROV/AÑO]],COMPRAS!$C$4:$C$80,Tabla8[[#Headers],[2021]])</f>
        <v>0</v>
      </c>
    </row>
    <row r="19" spans="1:6" x14ac:dyDescent="0.3">
      <c r="A19" s="47" t="str">
        <f>B.D!F34</f>
        <v>CENTRO ELECTRICO AT. E.U</v>
      </c>
      <c r="B19" s="52">
        <f>+SUM(Tabla8[[#This Row],[2018]:[2021]])</f>
        <v>0</v>
      </c>
      <c r="C19" s="48">
        <f>+SUMIFS(COMPRAS!$I$4:$I$80,COMPRAS!$E$4:$E$80,Tabla8[[#This Row],[PROV/AÑO]],COMPRAS!$C$4:$C$80,Tabla8[[#Headers],[2018]])</f>
        <v>0</v>
      </c>
      <c r="D19" s="48">
        <f>+SUMIFS(COMPRAS!I34:I110,COMPRAS!E34:E110,Tabla8[[#This Row],[PROV/AÑO]],COMPRAS!C34:C110,Tabla8[[#Headers],[2019]])</f>
        <v>0</v>
      </c>
      <c r="E19" s="48">
        <f>+SUMIFS(COMPRAS!$I$4:$I$80,COMPRAS!$E$4:$E$80,Tabla8[[#This Row],[PROV/AÑO]],COMPRAS!$C$4:$C$80,Tabla8[[#Headers],[2020]])</f>
        <v>0</v>
      </c>
      <c r="F19" s="49">
        <f>+SUMIFS(COMPRAS!$I$4:$I$80,COMPRAS!$E$4:$E$80,Tabla8[[#This Row],[PROV/AÑO]],COMPRAS!$C$4:$C$80,Tabla8[[#Headers],[2021]])</f>
        <v>0</v>
      </c>
    </row>
    <row r="20" spans="1:6" x14ac:dyDescent="0.3">
      <c r="A20" s="47" t="str">
        <f>B.D!F25</f>
        <v>COEXITO S.A.S</v>
      </c>
      <c r="B20" s="52">
        <f>+SUM(Tabla8[[#This Row],[2018]:[2021]])</f>
        <v>0</v>
      </c>
      <c r="C20" s="48">
        <f>+SUMIFS(COMPRAS!$I$4:$I$80,COMPRAS!$E$4:$E$80,Tabla8[[#This Row],[PROV/AÑO]],COMPRAS!$C$4:$C$80,Tabla8[[#Headers],[2018]])</f>
        <v>0</v>
      </c>
      <c r="D20" s="48">
        <f>+SUMIFS(COMPRAS!I25:I64,COMPRAS!E25:E64,Tabla8[[#This Row],[PROV/AÑO]],COMPRAS!C25:C64,Tabla8[[#Headers],[2019]])</f>
        <v>0</v>
      </c>
      <c r="E20" s="48">
        <f>+SUMIFS(COMPRAS!$I$4:$I$80,COMPRAS!$E$4:$E$80,Tabla8[[#This Row],[PROV/AÑO]],COMPRAS!$C$4:$C$80,Tabla8[[#Headers],[2020]])</f>
        <v>0</v>
      </c>
      <c r="F20" s="49">
        <f>+SUMIFS(COMPRAS!$I$4:$I$80,COMPRAS!$E$4:$E$80,Tabla8[[#This Row],[PROV/AÑO]],COMPRAS!$C$4:$C$80,Tabla8[[#Headers],[2021]])</f>
        <v>0</v>
      </c>
    </row>
    <row r="21" spans="1:6" x14ac:dyDescent="0.3">
      <c r="A21" s="47" t="str">
        <f>B.D!F9</f>
        <v>COMERCIALIZADORA CALYPSO S.A.S</v>
      </c>
      <c r="B21" s="52">
        <f>+SUM(Tabla8[[#This Row],[2018]:[2021]])</f>
        <v>0</v>
      </c>
      <c r="C21" s="48">
        <f>+SUMIFS(COMPRAS!$I$4:$I$80,COMPRAS!$E$4:$E$80,Tabla8[[#This Row],[PROV/AÑO]],COMPRAS!$C$4:$C$80,Tabla8[[#Headers],[2018]])</f>
        <v>0</v>
      </c>
      <c r="D21" s="48">
        <f>+SUMIFS(COMPRAS!I9:I48,COMPRAS!E9:E48,Tabla8[[#This Row],[PROV/AÑO]],COMPRAS!C9:C48,Tabla8[[#Headers],[2019]])</f>
        <v>0</v>
      </c>
      <c r="E21" s="48">
        <f>+SUMIFS(COMPRAS!$I$4:$I$80,COMPRAS!$E$4:$E$80,Tabla8[[#This Row],[PROV/AÑO]],COMPRAS!$C$4:$C$80,Tabla8[[#Headers],[2020]])</f>
        <v>0</v>
      </c>
      <c r="F21" s="49">
        <f>+SUMIFS(COMPRAS!$I$4:$I$80,COMPRAS!$E$4:$E$80,Tabla8[[#This Row],[PROV/AÑO]],COMPRAS!$C$4:$C$80,Tabla8[[#Headers],[2021]])</f>
        <v>0</v>
      </c>
    </row>
    <row r="22" spans="1:6" x14ac:dyDescent="0.3">
      <c r="A22" s="47" t="str">
        <f>B.D!F35</f>
        <v>COMERCIALIZADORA GIRALDO Z S.A.S</v>
      </c>
      <c r="B22" s="52">
        <f>+SUM(Tabla8[[#This Row],[2018]:[2021]])</f>
        <v>0</v>
      </c>
      <c r="C22" s="48">
        <f>+SUMIFS(COMPRAS!$I$4:$I$80,COMPRAS!$E$4:$E$80,Tabla8[[#This Row],[PROV/AÑO]],COMPRAS!$C$4:$C$80,Tabla8[[#Headers],[2018]])</f>
        <v>0</v>
      </c>
      <c r="D22" s="48">
        <f>+SUMIFS(COMPRAS!I35:I111,COMPRAS!E35:E111,Tabla8[[#This Row],[PROV/AÑO]],COMPRAS!C35:C111,Tabla8[[#Headers],[2019]])</f>
        <v>0</v>
      </c>
      <c r="E22" s="48">
        <f>+SUMIFS(COMPRAS!$I$4:$I$80,COMPRAS!$E$4:$E$80,Tabla8[[#This Row],[PROV/AÑO]],COMPRAS!$C$4:$C$80,Tabla8[[#Headers],[2020]])</f>
        <v>0</v>
      </c>
      <c r="F22" s="49">
        <f>+SUMIFS(COMPRAS!$I$4:$I$80,COMPRAS!$E$4:$E$80,Tabla8[[#This Row],[PROV/AÑO]],COMPRAS!$C$4:$C$80,Tabla8[[#Headers],[2021]])</f>
        <v>0</v>
      </c>
    </row>
    <row r="23" spans="1:6" x14ac:dyDescent="0.3">
      <c r="A23" s="47" t="str">
        <f>B.D!F6</f>
        <v>ESPINTURAS S.A.S</v>
      </c>
      <c r="B23" s="52">
        <f>+SUM(Tabla8[[#This Row],[2018]:[2021]])</f>
        <v>0</v>
      </c>
      <c r="C23" s="48">
        <f>+SUMIFS(COMPRAS!$I$4:$I$80,COMPRAS!$E$4:$E$80,Tabla8[[#This Row],[PROV/AÑO]],COMPRAS!$C$4:$C$80,Tabla8[[#Headers],[2018]])</f>
        <v>0</v>
      </c>
      <c r="D23" s="48">
        <f>+SUMIFS(COMPRAS!I6:I45,COMPRAS!E6:E45,Tabla8[[#This Row],[PROV/AÑO]],COMPRAS!C6:C45,Tabla8[[#Headers],[2019]])</f>
        <v>0</v>
      </c>
      <c r="E23" s="48">
        <f>+SUMIFS(COMPRAS!$I$4:$I$80,COMPRAS!$E$4:$E$80,Tabla8[[#This Row],[PROV/AÑO]],COMPRAS!$C$4:$C$80,Tabla8[[#Headers],[2020]])</f>
        <v>0</v>
      </c>
      <c r="F23" s="49">
        <f>+SUMIFS(COMPRAS!$I$4:$I$80,COMPRAS!$E$4:$E$80,Tabla8[[#This Row],[PROV/AÑO]],COMPRAS!$C$4:$C$80,Tabla8[[#Headers],[2021]])</f>
        <v>0</v>
      </c>
    </row>
    <row r="24" spans="1:6" x14ac:dyDescent="0.3">
      <c r="A24" s="47" t="str">
        <f>B.D!F14</f>
        <v>FERROSVEL S.A.S</v>
      </c>
      <c r="B24" s="52">
        <f>+SUM(Tabla8[[#This Row],[2018]:[2021]])</f>
        <v>0</v>
      </c>
      <c r="C24" s="48">
        <f>+SUMIFS(COMPRAS!$I$4:$I$80,COMPRAS!$E$4:$E$80,Tabla8[[#This Row],[PROV/AÑO]],COMPRAS!$C$4:$C$80,Tabla8[[#Headers],[2018]])</f>
        <v>0</v>
      </c>
      <c r="D24" s="48">
        <f>+SUMIFS(COMPRAS!I14:I53,COMPRAS!E14:E53,Tabla8[[#This Row],[PROV/AÑO]],COMPRAS!C14:C53,Tabla8[[#Headers],[2019]])</f>
        <v>0</v>
      </c>
      <c r="E24" s="48">
        <f>+SUMIFS(COMPRAS!$I$4:$I$80,COMPRAS!$E$4:$E$80,Tabla8[[#This Row],[PROV/AÑO]],COMPRAS!$C$4:$C$80,Tabla8[[#Headers],[2020]])</f>
        <v>0</v>
      </c>
      <c r="F24" s="49">
        <f>+SUMIFS(COMPRAS!$I$4:$I$80,COMPRAS!$E$4:$E$80,Tabla8[[#This Row],[PROV/AÑO]],COMPRAS!$C$4:$C$80,Tabla8[[#Headers],[2021]])</f>
        <v>0</v>
      </c>
    </row>
    <row r="25" spans="1:6" x14ac:dyDescent="0.3">
      <c r="A25" s="47" t="str">
        <f>B.D!F40</f>
        <v>FIJACIONES OROZCO S.A.S</v>
      </c>
      <c r="B25" s="52">
        <f>+SUM(Tabla8[[#This Row],[2018]:[2021]])</f>
        <v>0</v>
      </c>
      <c r="C25" s="48">
        <f>+SUMIFS(COMPRAS!$I$4:$I$80,COMPRAS!$E$4:$E$80,Tabla8[[#This Row],[PROV/AÑO]],COMPRAS!$C$4:$C$80,Tabla8[[#Headers],[2018]])</f>
        <v>0</v>
      </c>
      <c r="D25" s="48">
        <f>+SUMIFS(COMPRAS!I40:I116,COMPRAS!E40:E116,Tabla8[[#This Row],[PROV/AÑO]],COMPRAS!C40:C116,Tabla8[[#Headers],[2019]])</f>
        <v>0</v>
      </c>
      <c r="E25" s="48">
        <f>+SUMIFS(COMPRAS!$I$4:$I$80,COMPRAS!$E$4:$E$80,Tabla8[[#This Row],[PROV/AÑO]],COMPRAS!$C$4:$C$80,Tabla8[[#Headers],[2020]])</f>
        <v>0</v>
      </c>
      <c r="F25" s="49">
        <f>+SUMIFS(COMPRAS!$I$4:$I$80,COMPRAS!$E$4:$E$80,Tabla8[[#This Row],[PROV/AÑO]],COMPRAS!$C$4:$C$80,Tabla8[[#Headers],[2021]])</f>
        <v>0</v>
      </c>
    </row>
    <row r="26" spans="1:6" x14ac:dyDescent="0.3">
      <c r="A26" s="47" t="str">
        <f>B.D!F39</f>
        <v>FORMATEX LA 50</v>
      </c>
      <c r="B26" s="52">
        <f>+SUM(Tabla8[[#This Row],[2018]:[2021]])</f>
        <v>0</v>
      </c>
      <c r="C26" s="48">
        <f>+SUMIFS(COMPRAS!$I$4:$I$80,COMPRAS!$E$4:$E$80,Tabla8[[#This Row],[PROV/AÑO]],COMPRAS!$C$4:$C$80,Tabla8[[#Headers],[2018]])</f>
        <v>0</v>
      </c>
      <c r="D26" s="48">
        <f>+SUMIFS(COMPRAS!I39:I115,COMPRAS!E39:E115,Tabla8[[#This Row],[PROV/AÑO]],COMPRAS!C39:C115,Tabla8[[#Headers],[2019]])</f>
        <v>0</v>
      </c>
      <c r="E26" s="48">
        <f>+SUMIFS(COMPRAS!$I$4:$I$80,COMPRAS!$E$4:$E$80,Tabla8[[#This Row],[PROV/AÑO]],COMPRAS!$C$4:$C$80,Tabla8[[#Headers],[2020]])</f>
        <v>0</v>
      </c>
      <c r="F26" s="49">
        <f>+SUMIFS(COMPRAS!$I$4:$I$80,COMPRAS!$E$4:$E$80,Tabla8[[#This Row],[PROV/AÑO]],COMPRAS!$C$4:$C$80,Tabla8[[#Headers],[2021]])</f>
        <v>0</v>
      </c>
    </row>
    <row r="27" spans="1:6" x14ac:dyDescent="0.3">
      <c r="A27" s="47" t="str">
        <f>B.D!F33</f>
        <v>GHMC S.A.S</v>
      </c>
      <c r="B27" s="52">
        <f>+SUM(Tabla8[[#This Row],[2018]:[2021]])</f>
        <v>0</v>
      </c>
      <c r="C27" s="48">
        <f>+SUMIFS(COMPRAS!$I$4:$I$80,COMPRAS!$E$4:$E$80,Tabla8[[#This Row],[PROV/AÑO]],COMPRAS!$C$4:$C$80,Tabla8[[#Headers],[2018]])</f>
        <v>0</v>
      </c>
      <c r="D27" s="48">
        <f>+SUMIFS(COMPRAS!I33:I109,COMPRAS!E33:E109,Tabla8[[#This Row],[PROV/AÑO]],COMPRAS!C33:C109,Tabla8[[#Headers],[2019]])</f>
        <v>0</v>
      </c>
      <c r="E27" s="48">
        <f>+SUMIFS(COMPRAS!$I$4:$I$80,COMPRAS!$E$4:$E$80,Tabla8[[#This Row],[PROV/AÑO]],COMPRAS!$C$4:$C$80,Tabla8[[#Headers],[2020]])</f>
        <v>0</v>
      </c>
      <c r="F27" s="49">
        <f>+SUMIFS(COMPRAS!$I$4:$I$80,COMPRAS!$E$4:$E$80,Tabla8[[#This Row],[PROV/AÑO]],COMPRAS!$C$4:$C$80,Tabla8[[#Headers],[2021]])</f>
        <v>0</v>
      </c>
    </row>
    <row r="28" spans="1:6" x14ac:dyDescent="0.3">
      <c r="A28" s="20" t="str">
        <f>B.D!F38</f>
        <v>GUILLERMO LEON BEDOYA</v>
      </c>
      <c r="B28" s="53">
        <f>+SUM(Tabla8[[#This Row],[2018]:[2021]])</f>
        <v>0</v>
      </c>
      <c r="C28" s="50">
        <f>+SUMIFS(COMPRAS!$I$4:$I$80,COMPRAS!$E$4:$E$80,Tabla8[[#This Row],[PROV/AÑO]],COMPRAS!$C$4:$C$80,Tabla8[[#Headers],[2018]])</f>
        <v>0</v>
      </c>
      <c r="D28" s="50">
        <f>+SUMIFS(COMPRAS!I38:I114,COMPRAS!E38:E114,Tabla8[[#This Row],[PROV/AÑO]],COMPRAS!C38:C114,Tabla8[[#Headers],[2019]])</f>
        <v>0</v>
      </c>
      <c r="E28" s="50">
        <f>+SUMIFS(COMPRAS!$I$4:$I$80,COMPRAS!$E$4:$E$80,Tabla8[[#This Row],[PROV/AÑO]],COMPRAS!$C$4:$C$80,Tabla8[[#Headers],[2020]])</f>
        <v>0</v>
      </c>
      <c r="F28" s="51">
        <f>+SUMIFS(COMPRAS!$I$4:$I$80,COMPRAS!$E$4:$E$80,Tabla8[[#This Row],[PROV/AÑO]],COMPRAS!$C$4:$C$80,Tabla8[[#Headers],[2021]])</f>
        <v>0</v>
      </c>
    </row>
    <row r="29" spans="1:6" x14ac:dyDescent="0.3">
      <c r="A29" s="20" t="str">
        <f>B.D!F4</f>
        <v>INDUSTRIAS JB S.A.S</v>
      </c>
      <c r="B29" s="52">
        <f>+SUM(Tabla8[[#This Row],[2018]:[2021]])</f>
        <v>0</v>
      </c>
      <c r="C29" s="56">
        <f>+SUMIFS(COMPRAS!$I$4:$I$80,COMPRAS!$E$4:$E$80,Tabla8[[#This Row],[PROV/AÑO]],COMPRAS!$C$4:$C$80,Tabla8[[#Headers],[2018]])</f>
        <v>0</v>
      </c>
      <c r="D29" s="48">
        <f>+SUMIFS(COMPRAS!I4:I43,COMPRAS!E4:E43,Tabla8[[#This Row],[PROV/AÑO]],COMPRAS!C4:C43,Tabla8[[#Headers],[2019]])</f>
        <v>0</v>
      </c>
      <c r="E29" s="48">
        <f>+SUMIFS(COMPRAS!$I$4:$I$80,COMPRAS!$E$4:$E$80,Tabla8[[#This Row],[PROV/AÑO]],COMPRAS!$C$4:$C$80,Tabla8[[#Headers],[2020]])</f>
        <v>0</v>
      </c>
      <c r="F29" s="49">
        <f>+SUMIFS(COMPRAS!$I$4:$I$80,COMPRAS!$E$4:$E$80,Tabla8[[#This Row],[PROV/AÑO]],COMPRAS!$C$4:$C$80,Tabla8[[#Headers],[2021]])</f>
        <v>0</v>
      </c>
    </row>
    <row r="30" spans="1:6" x14ac:dyDescent="0.3">
      <c r="A30" s="20" t="str">
        <f>B.D!F22</f>
        <v>J&amp;J ASOCIADOS</v>
      </c>
      <c r="B30" s="52">
        <f>+SUM(Tabla8[[#This Row],[2018]:[2021]])</f>
        <v>0</v>
      </c>
      <c r="C30" s="56">
        <f>+SUMIFS(COMPRAS!$I$4:$I$80,COMPRAS!$E$4:$E$80,Tabla8[[#This Row],[PROV/AÑO]],COMPRAS!$C$4:$C$80,Tabla8[[#Headers],[2018]])</f>
        <v>0</v>
      </c>
      <c r="D30" s="48">
        <f>+SUMIFS(COMPRAS!I22:I61,COMPRAS!E22:E61,Tabla8[[#This Row],[PROV/AÑO]],COMPRAS!C22:C61,Tabla8[[#Headers],[2019]])</f>
        <v>0</v>
      </c>
      <c r="E30" s="48">
        <f>+SUMIFS(COMPRAS!$I$4:$I$80,COMPRAS!$E$4:$E$80,Tabla8[[#This Row],[PROV/AÑO]],COMPRAS!$C$4:$C$80,Tabla8[[#Headers],[2020]])</f>
        <v>0</v>
      </c>
      <c r="F30" s="49">
        <f>+SUMIFS(COMPRAS!$I$4:$I$80,COMPRAS!$E$4:$E$80,Tabla8[[#This Row],[PROV/AÑO]],COMPRAS!$C$4:$C$80,Tabla8[[#Headers],[2021]])</f>
        <v>0</v>
      </c>
    </row>
    <row r="31" spans="1:6" x14ac:dyDescent="0.3">
      <c r="A31" s="20" t="str">
        <f>B.D!F17</f>
        <v>JUAN F. ESTRADA</v>
      </c>
      <c r="B31" s="52">
        <f>+SUM(Tabla8[[#This Row],[2018]:[2021]])</f>
        <v>0</v>
      </c>
      <c r="C31" s="56">
        <f>+SUMIFS(COMPRAS!$I$4:$I$80,COMPRAS!$E$4:$E$80,Tabla8[[#This Row],[PROV/AÑO]],COMPRAS!$C$4:$C$80,Tabla8[[#Headers],[2018]])</f>
        <v>0</v>
      </c>
      <c r="D31" s="48">
        <f>+SUMIFS(COMPRAS!I17:I56,COMPRAS!E17:E56,Tabla8[[#This Row],[PROV/AÑO]],COMPRAS!C17:C56,Tabla8[[#Headers],[2019]])</f>
        <v>0</v>
      </c>
      <c r="E31" s="48">
        <f>+SUMIFS(COMPRAS!$I$4:$I$80,COMPRAS!$E$4:$E$80,Tabla8[[#This Row],[PROV/AÑO]],COMPRAS!$C$4:$C$80,Tabla8[[#Headers],[2020]])</f>
        <v>0</v>
      </c>
      <c r="F31" s="49">
        <f>+SUMIFS(COMPRAS!$I$4:$I$80,COMPRAS!$E$4:$E$80,Tabla8[[#This Row],[PROV/AÑO]],COMPRAS!$C$4:$C$80,Tabla8[[#Headers],[2021]])</f>
        <v>0</v>
      </c>
    </row>
    <row r="32" spans="1:6" x14ac:dyDescent="0.3">
      <c r="A32" s="20" t="str">
        <f>B.D!F5</f>
        <v>LUZ MARINA PAMPLONA</v>
      </c>
      <c r="B32" s="52">
        <f>+SUM(Tabla8[[#This Row],[2018]:[2021]])</f>
        <v>0</v>
      </c>
      <c r="C32" s="56">
        <f>+SUMIFS(COMPRAS!$I$4:$I$80,COMPRAS!$E$4:$E$80,Tabla8[[#This Row],[PROV/AÑO]],COMPRAS!$C$4:$C$80,Tabla8[[#Headers],[2018]])</f>
        <v>0</v>
      </c>
      <c r="D32" s="48">
        <f>+SUMIFS(COMPRAS!I5:I44,COMPRAS!E5:E44,Tabla8[[#This Row],[PROV/AÑO]],COMPRAS!C5:C44,Tabla8[[#Headers],[2019]])</f>
        <v>0</v>
      </c>
      <c r="E32" s="48">
        <f>+SUMIFS(COMPRAS!$I$4:$I$80,COMPRAS!$E$4:$E$80,Tabla8[[#This Row],[PROV/AÑO]],COMPRAS!$C$4:$C$80,Tabla8[[#Headers],[2020]])</f>
        <v>0</v>
      </c>
      <c r="F32" s="49">
        <f>+SUMIFS(COMPRAS!$I$4:$I$80,COMPRAS!$E$4:$E$80,Tabla8[[#This Row],[PROV/AÑO]],COMPRAS!$C$4:$C$80,Tabla8[[#Headers],[2021]])</f>
        <v>0</v>
      </c>
    </row>
    <row r="33" spans="1:6" x14ac:dyDescent="0.3">
      <c r="A33" s="20" t="str">
        <f>B.D!F36</f>
        <v>LUZ PIEDAD ESPINOSA</v>
      </c>
      <c r="B33" s="52">
        <f>+SUM(Tabla8[[#This Row],[2018]:[2021]])</f>
        <v>0</v>
      </c>
      <c r="C33" s="56">
        <f>+SUMIFS(COMPRAS!$I$4:$I$80,COMPRAS!$E$4:$E$80,Tabla8[[#This Row],[PROV/AÑO]],COMPRAS!$C$4:$C$80,Tabla8[[#Headers],[2018]])</f>
        <v>0</v>
      </c>
      <c r="D33" s="48">
        <f>+SUMIFS(COMPRAS!I36:I112,COMPRAS!E36:E112,Tabla8[[#This Row],[PROV/AÑO]],COMPRAS!C36:C112,Tabla8[[#Headers],[2019]])</f>
        <v>0</v>
      </c>
      <c r="E33" s="48">
        <f>+SUMIFS(COMPRAS!$I$4:$I$80,COMPRAS!$E$4:$E$80,Tabla8[[#This Row],[PROV/AÑO]],COMPRAS!$C$4:$C$80,Tabla8[[#Headers],[2020]])</f>
        <v>0</v>
      </c>
      <c r="F33" s="49">
        <f>+SUMIFS(COMPRAS!$I$4:$I$80,COMPRAS!$E$4:$E$80,Tabla8[[#This Row],[PROV/AÑO]],COMPRAS!$C$4:$C$80,Tabla8[[#Headers],[2021]])</f>
        <v>0</v>
      </c>
    </row>
    <row r="34" spans="1:6" x14ac:dyDescent="0.3">
      <c r="A34" s="20" t="str">
        <f>B.D!F32</f>
        <v>MA. ALEJANDRA TANGARIFE</v>
      </c>
      <c r="B34" s="52">
        <f>+SUM(Tabla8[[#This Row],[2018]:[2021]])</f>
        <v>0</v>
      </c>
      <c r="C34" s="56">
        <f>+SUMIFS(COMPRAS!$I$4:$I$80,COMPRAS!$E$4:$E$80,Tabla8[[#This Row],[PROV/AÑO]],COMPRAS!$C$4:$C$80,Tabla8[[#Headers],[2018]])</f>
        <v>0</v>
      </c>
      <c r="D34" s="48">
        <f>+SUMIFS(COMPRAS!I32:I108,COMPRAS!E32:E108,Tabla8[[#This Row],[PROV/AÑO]],COMPRAS!C32:C108,Tabla8[[#Headers],[2019]])</f>
        <v>0</v>
      </c>
      <c r="E34" s="48">
        <f>+SUMIFS(COMPRAS!$I$4:$I$80,COMPRAS!$E$4:$E$80,Tabla8[[#This Row],[PROV/AÑO]],COMPRAS!$C$4:$C$80,Tabla8[[#Headers],[2020]])</f>
        <v>0</v>
      </c>
      <c r="F34" s="49">
        <f>+SUMIFS(COMPRAS!$I$4:$I$80,COMPRAS!$E$4:$E$80,Tabla8[[#This Row],[PROV/AÑO]],COMPRAS!$C$4:$C$80,Tabla8[[#Headers],[2021]])</f>
        <v>0</v>
      </c>
    </row>
    <row r="35" spans="1:6" x14ac:dyDescent="0.3">
      <c r="A35" s="20" t="str">
        <f>B.D!F21</f>
        <v>MATERIALES EL TITAN 1 S.A.S</v>
      </c>
      <c r="B35" s="52">
        <f>+SUM(Tabla8[[#This Row],[2018]:[2021]])</f>
        <v>0</v>
      </c>
      <c r="C35" s="56">
        <f>+SUMIFS(COMPRAS!$I$4:$I$80,COMPRAS!$E$4:$E$80,Tabla8[[#This Row],[PROV/AÑO]],COMPRAS!$C$4:$C$80,Tabla8[[#Headers],[2018]])</f>
        <v>0</v>
      </c>
      <c r="D35" s="48">
        <f>+SUMIFS(COMPRAS!I21:I60,COMPRAS!E21:E60,Tabla8[[#This Row],[PROV/AÑO]],COMPRAS!C21:C60,Tabla8[[#Headers],[2019]])</f>
        <v>0</v>
      </c>
      <c r="E35" s="48">
        <f>+SUMIFS(COMPRAS!$I$4:$I$80,COMPRAS!$E$4:$E$80,Tabla8[[#This Row],[PROV/AÑO]],COMPRAS!$C$4:$C$80,Tabla8[[#Headers],[2020]])</f>
        <v>0</v>
      </c>
      <c r="F35" s="49">
        <f>+SUMIFS(COMPRAS!$I$4:$I$80,COMPRAS!$E$4:$E$80,Tabla8[[#This Row],[PROV/AÑO]],COMPRAS!$C$4:$C$80,Tabla8[[#Headers],[2021]])</f>
        <v>0</v>
      </c>
    </row>
    <row r="36" spans="1:6" x14ac:dyDescent="0.3">
      <c r="A36" s="20" t="str">
        <f>B.D!F19</f>
        <v>MATERIALES SU CONSTRUCCION S.A</v>
      </c>
      <c r="B36" s="52">
        <f>+SUM(Tabla8[[#This Row],[2018]:[2021]])</f>
        <v>0</v>
      </c>
      <c r="C36" s="56">
        <f>+SUMIFS(COMPRAS!$I$4:$I$80,COMPRAS!$E$4:$E$80,Tabla8[[#This Row],[PROV/AÑO]],COMPRAS!$C$4:$C$80,Tabla8[[#Headers],[2018]])</f>
        <v>0</v>
      </c>
      <c r="D36" s="48">
        <f>+SUMIFS(COMPRAS!I19:I58,COMPRAS!E19:E58,Tabla8[[#This Row],[PROV/AÑO]],COMPRAS!C19:C58,Tabla8[[#Headers],[2019]])</f>
        <v>0</v>
      </c>
      <c r="E36" s="48">
        <f>+SUMIFS(COMPRAS!$I$4:$I$80,COMPRAS!$E$4:$E$80,Tabla8[[#This Row],[PROV/AÑO]],COMPRAS!$C$4:$C$80,Tabla8[[#Headers],[2020]])</f>
        <v>0</v>
      </c>
      <c r="F36" s="49">
        <f>+SUMIFS(COMPRAS!$I$4:$I$80,COMPRAS!$E$4:$E$80,Tabla8[[#This Row],[PROV/AÑO]],COMPRAS!$C$4:$C$80,Tabla8[[#Headers],[2021]])</f>
        <v>0</v>
      </c>
    </row>
    <row r="37" spans="1:6" x14ac:dyDescent="0.3">
      <c r="A37" s="20" t="str">
        <f>B.D!F10</f>
        <v>PC CHAMPION S.A.S</v>
      </c>
      <c r="B37" s="52">
        <f>+SUM(Tabla8[[#This Row],[2018]:[2021]])</f>
        <v>0</v>
      </c>
      <c r="C37" s="56">
        <f>+SUMIFS(COMPRAS!$I$4:$I$80,COMPRAS!$E$4:$E$80,Tabla8[[#This Row],[PROV/AÑO]],COMPRAS!$C$4:$C$80,Tabla8[[#Headers],[2018]])</f>
        <v>0</v>
      </c>
      <c r="D37" s="48">
        <f>+SUMIFS(COMPRAS!I10:I49,COMPRAS!E10:E49,Tabla8[[#This Row],[PROV/AÑO]],COMPRAS!C10:C49,Tabla8[[#Headers],[2019]])</f>
        <v>0</v>
      </c>
      <c r="E37" s="48">
        <f>+SUMIFS(COMPRAS!$I$4:$I$80,COMPRAS!$E$4:$E$80,Tabla8[[#This Row],[PROV/AÑO]],COMPRAS!$C$4:$C$80,Tabla8[[#Headers],[2020]])</f>
        <v>0</v>
      </c>
      <c r="F37" s="49">
        <f>+SUMIFS(COMPRAS!$I$4:$I$80,COMPRAS!$E$4:$E$80,Tabla8[[#This Row],[PROV/AÑO]],COMPRAS!$C$4:$C$80,Tabla8[[#Headers],[2021]])</f>
        <v>0</v>
      </c>
    </row>
    <row r="38" spans="1:6" x14ac:dyDescent="0.3">
      <c r="A38" s="20" t="str">
        <f>B.D!F27</f>
        <v>PEDRO ANTONIO HERRERA</v>
      </c>
      <c r="B38" s="52">
        <f>+SUM(Tabla8[[#This Row],[2018]:[2021]])</f>
        <v>0</v>
      </c>
      <c r="C38" s="56">
        <f>+SUMIFS(COMPRAS!$I$4:$I$80,COMPRAS!$E$4:$E$80,Tabla8[[#This Row],[PROV/AÑO]],COMPRAS!$C$4:$C$80,Tabla8[[#Headers],[2018]])</f>
        <v>0</v>
      </c>
      <c r="D38" s="48">
        <f>+SUMIFS(COMPRAS!I27:I103,COMPRAS!E27:E103,Tabla8[[#This Row],[PROV/AÑO]],COMPRAS!C27:C103,Tabla8[[#Headers],[2019]])</f>
        <v>0</v>
      </c>
      <c r="E38" s="48">
        <f>+SUMIFS(COMPRAS!$I$4:$I$80,COMPRAS!$E$4:$E$80,Tabla8[[#This Row],[PROV/AÑO]],COMPRAS!$C$4:$C$80,Tabla8[[#Headers],[2020]])</f>
        <v>0</v>
      </c>
      <c r="F38" s="49">
        <f>+SUMIFS(COMPRAS!$I$4:$I$80,COMPRAS!$E$4:$E$80,Tabla8[[#This Row],[PROV/AÑO]],COMPRAS!$C$4:$C$80,Tabla8[[#Headers],[2021]])</f>
        <v>0</v>
      </c>
    </row>
    <row r="39" spans="1:6" x14ac:dyDescent="0.3">
      <c r="A39" s="20" t="str">
        <f>B.D!F28</f>
        <v>PLASTEXTIL S.A.S</v>
      </c>
      <c r="B39" s="52">
        <f>+SUM(Tabla8[[#This Row],[2018]:[2021]])</f>
        <v>0</v>
      </c>
      <c r="C39" s="56">
        <f>+SUMIFS(COMPRAS!$I$4:$I$80,COMPRAS!$E$4:$E$80,Tabla8[[#This Row],[PROV/AÑO]],COMPRAS!$C$4:$C$80,Tabla8[[#Headers],[2018]])</f>
        <v>0</v>
      </c>
      <c r="D39" s="48">
        <f>+SUMIFS(COMPRAS!I28:I104,COMPRAS!E28:E104,Tabla8[[#This Row],[PROV/AÑO]],COMPRAS!C28:C104,Tabla8[[#Headers],[2019]])</f>
        <v>0</v>
      </c>
      <c r="E39" s="48">
        <f>+SUMIFS(COMPRAS!$I$4:$I$80,COMPRAS!$E$4:$E$80,Tabla8[[#This Row],[PROV/AÑO]],COMPRAS!$C$4:$C$80,Tabla8[[#Headers],[2020]])</f>
        <v>0</v>
      </c>
      <c r="F39" s="49">
        <f>+SUMIFS(COMPRAS!$I$4:$I$80,COMPRAS!$E$4:$E$80,Tabla8[[#This Row],[PROV/AÑO]],COMPRAS!$C$4:$C$80,Tabla8[[#Headers],[2021]])</f>
        <v>0</v>
      </c>
    </row>
    <row r="40" spans="1:6" x14ac:dyDescent="0.3">
      <c r="A40" s="20" t="str">
        <f>B.D!F7</f>
        <v>PRODUCTOS COPLAST</v>
      </c>
      <c r="B40" s="52">
        <f>+SUM(Tabla8[[#This Row],[2018]:[2021]])</f>
        <v>0</v>
      </c>
      <c r="C40" s="56">
        <f>+SUMIFS(COMPRAS!$I$4:$I$80,COMPRAS!$E$4:$E$80,Tabla8[[#This Row],[PROV/AÑO]],COMPRAS!$C$4:$C$80,Tabla8[[#Headers],[2018]])</f>
        <v>0</v>
      </c>
      <c r="D40" s="48">
        <f>+SUMIFS(COMPRAS!I7:I46,COMPRAS!E7:E46,Tabla8[[#This Row],[PROV/AÑO]],COMPRAS!C7:C46,Tabla8[[#Headers],[2019]])</f>
        <v>0</v>
      </c>
      <c r="E40" s="48">
        <f>+SUMIFS(COMPRAS!$I$4:$I$80,COMPRAS!$E$4:$E$80,Tabla8[[#This Row],[PROV/AÑO]],COMPRAS!$C$4:$C$80,Tabla8[[#Headers],[2020]])</f>
        <v>0</v>
      </c>
      <c r="F40" s="49">
        <f>+SUMIFS(COMPRAS!$I$4:$I$80,COMPRAS!$E$4:$E$80,Tabla8[[#This Row],[PROV/AÑO]],COMPRAS!$C$4:$C$80,Tabla8[[#Headers],[2021]])</f>
        <v>0</v>
      </c>
    </row>
    <row r="41" spans="1:6" x14ac:dyDescent="0.3">
      <c r="A41" s="20" t="str">
        <f>B.D!F16</f>
        <v>PRODUCTOS COPLAST</v>
      </c>
      <c r="B41" s="52">
        <f>+SUM(Tabla8[[#This Row],[2018]:[2021]])</f>
        <v>0</v>
      </c>
      <c r="C41" s="56">
        <f>+SUMIFS(COMPRAS!$I$4:$I$80,COMPRAS!$E$4:$E$80,Tabla8[[#This Row],[PROV/AÑO]],COMPRAS!$C$4:$C$80,Tabla8[[#Headers],[2018]])</f>
        <v>0</v>
      </c>
      <c r="D41" s="48">
        <f>+SUMIFS(COMPRAS!I16:I55,COMPRAS!E16:E55,Tabla8[[#This Row],[PROV/AÑO]],COMPRAS!C16:C55,Tabla8[[#Headers],[2019]])</f>
        <v>0</v>
      </c>
      <c r="E41" s="48">
        <f>+SUMIFS(COMPRAS!$I$4:$I$80,COMPRAS!$E$4:$E$80,Tabla8[[#This Row],[PROV/AÑO]],COMPRAS!$C$4:$C$80,Tabla8[[#Headers],[2020]])</f>
        <v>0</v>
      </c>
      <c r="F41" s="49">
        <f>+SUMIFS(COMPRAS!$I$4:$I$80,COMPRAS!$E$4:$E$80,Tabla8[[#This Row],[PROV/AÑO]],COMPRAS!$C$4:$C$80,Tabla8[[#Headers],[2021]])</f>
        <v>0</v>
      </c>
    </row>
    <row r="42" spans="1:6" x14ac:dyDescent="0.3">
      <c r="A42" s="20" t="str">
        <f>B.D!F31</f>
        <v>RELOMAR S.A.S</v>
      </c>
      <c r="B42" s="52">
        <f>+SUM(Tabla8[[#This Row],[2018]:[2021]])</f>
        <v>0</v>
      </c>
      <c r="C42" s="56">
        <f>+SUMIFS(COMPRAS!$I$4:$I$80,COMPRAS!$E$4:$E$80,Tabla8[[#This Row],[PROV/AÑO]],COMPRAS!$C$4:$C$80,Tabla8[[#Headers],[2018]])</f>
        <v>0</v>
      </c>
      <c r="D42" s="48">
        <f>+SUMIFS(COMPRAS!I31:I107,COMPRAS!E31:E107,Tabla8[[#This Row],[PROV/AÑO]],COMPRAS!C31:C107,Tabla8[[#Headers],[2019]])</f>
        <v>0</v>
      </c>
      <c r="E42" s="48">
        <f>+SUMIFS(COMPRAS!$I$4:$I$80,COMPRAS!$E$4:$E$80,Tabla8[[#This Row],[PROV/AÑO]],COMPRAS!$C$4:$C$80,Tabla8[[#Headers],[2020]])</f>
        <v>0</v>
      </c>
      <c r="F42" s="49">
        <f>+SUMIFS(COMPRAS!$I$4:$I$80,COMPRAS!$E$4:$E$80,Tabla8[[#This Row],[PROV/AÑO]],COMPRAS!$C$4:$C$80,Tabla8[[#Headers],[2021]])</f>
        <v>0</v>
      </c>
    </row>
    <row r="43" spans="1:6" x14ac:dyDescent="0.3">
      <c r="A43" s="20" t="str">
        <f>B.D!F41</f>
        <v>SERVITECA LUBRIFILTROS BELLO S.A.S</v>
      </c>
      <c r="B43" s="52">
        <f>+SUM(Tabla8[[#This Row],[2018]:[2021]])</f>
        <v>0</v>
      </c>
      <c r="C43" s="56">
        <f>+SUMIFS(COMPRAS!$I$4:$I$80,COMPRAS!$E$4:$E$80,Tabla8[[#This Row],[PROV/AÑO]],COMPRAS!$C$4:$C$80,Tabla8[[#Headers],[2018]])</f>
        <v>0</v>
      </c>
      <c r="D43" s="48">
        <f>+SUMIFS(COMPRAS!I41:I117,COMPRAS!E41:E117,Tabla8[[#This Row],[PROV/AÑO]],COMPRAS!C41:C117,Tabla8[[#Headers],[2019]])</f>
        <v>0</v>
      </c>
      <c r="E43" s="48">
        <f>+SUMIFS(COMPRAS!$I$4:$I$80,COMPRAS!$E$4:$E$80,Tabla8[[#This Row],[PROV/AÑO]],COMPRAS!$C$4:$C$80,Tabla8[[#Headers],[2020]])</f>
        <v>0</v>
      </c>
      <c r="F43" s="49">
        <f>+SUMIFS(COMPRAS!$I$4:$I$80,COMPRAS!$E$4:$E$80,Tabla8[[#This Row],[PROV/AÑO]],COMPRAS!$C$4:$C$80,Tabla8[[#Headers],[2021]])</f>
        <v>0</v>
      </c>
    </row>
    <row r="44" spans="1:6" x14ac:dyDescent="0.3">
      <c r="A44" s="20" t="str">
        <f>B.D!F15</f>
        <v>SODIMAC COLOMBIA</v>
      </c>
      <c r="B44" s="52">
        <f>+SUM(Tabla8[[#This Row],[2018]:[2021]])</f>
        <v>0</v>
      </c>
      <c r="C44" s="56">
        <f>+SUMIFS(COMPRAS!$I$4:$I$80,COMPRAS!$E$4:$E$80,Tabla8[[#This Row],[PROV/AÑO]],COMPRAS!$C$4:$C$80,Tabla8[[#Headers],[2018]])</f>
        <v>0</v>
      </c>
      <c r="D44" s="48">
        <f>+SUMIFS(COMPRAS!I15:I54,COMPRAS!E15:E54,Tabla8[[#This Row],[PROV/AÑO]],COMPRAS!C15:C54,Tabla8[[#Headers],[2019]])</f>
        <v>0</v>
      </c>
      <c r="E44" s="48">
        <f>+SUMIFS(COMPRAS!$I$4:$I$80,COMPRAS!$E$4:$E$80,Tabla8[[#This Row],[PROV/AÑO]],COMPRAS!$C$4:$C$80,Tabla8[[#Headers],[2020]])</f>
        <v>0</v>
      </c>
      <c r="F44" s="49">
        <f>+SUMIFS(COMPRAS!$I$4:$I$80,COMPRAS!$E$4:$E$80,Tabla8[[#This Row],[PROV/AÑO]],COMPRAS!$C$4:$C$80,Tabla8[[#Headers],[2021]])</f>
        <v>0</v>
      </c>
    </row>
    <row r="45" spans="1:6" x14ac:dyDescent="0.3">
      <c r="A45" s="20" t="str">
        <f>B.D!F24</f>
        <v>SOFIA POSADA S.A.S</v>
      </c>
      <c r="B45" s="52">
        <f>+SUM(Tabla8[[#This Row],[2018]:[2021]])</f>
        <v>0</v>
      </c>
      <c r="C45" s="56">
        <f>+SUMIFS(COMPRAS!$I$4:$I$80,COMPRAS!$E$4:$E$80,Tabla8[[#This Row],[PROV/AÑO]],COMPRAS!$C$4:$C$80,Tabla8[[#Headers],[2018]])</f>
        <v>0</v>
      </c>
      <c r="D45" s="48">
        <f>+SUMIFS(COMPRAS!I24:I63,COMPRAS!E24:E63,Tabla8[[#This Row],[PROV/AÑO]],COMPRAS!C24:C63,Tabla8[[#Headers],[2019]])</f>
        <v>0</v>
      </c>
      <c r="E45" s="48">
        <f>+SUMIFS(COMPRAS!$I$4:$I$80,COMPRAS!$E$4:$E$80,Tabla8[[#This Row],[PROV/AÑO]],COMPRAS!$C$4:$C$80,Tabla8[[#Headers],[2020]])</f>
        <v>0</v>
      </c>
      <c r="F45" s="49">
        <f>+SUMIFS(COMPRAS!$I$4:$I$80,COMPRAS!$E$4:$E$80,Tabla8[[#This Row],[PROV/AÑO]],COMPRAS!$C$4:$C$80,Tabla8[[#Headers],[2021]])</f>
        <v>0</v>
      </c>
    </row>
    <row r="46" spans="1:6" x14ac:dyDescent="0.3">
      <c r="A46" s="20" t="str">
        <f>B.D!F29</f>
        <v>TODO TAPICERO S.A</v>
      </c>
      <c r="B46" s="52">
        <f>+SUM(Tabla8[[#This Row],[2018]:[2021]])</f>
        <v>0</v>
      </c>
      <c r="C46" s="56">
        <f>+SUMIFS(COMPRAS!$I$4:$I$80,COMPRAS!$E$4:$E$80,Tabla8[[#This Row],[PROV/AÑO]],COMPRAS!$C$4:$C$80,Tabla8[[#Headers],[2018]])</f>
        <v>0</v>
      </c>
      <c r="D46" s="48">
        <f>+SUMIFS(COMPRAS!I29:I105,COMPRAS!E29:E105,Tabla8[[#This Row],[PROV/AÑO]],COMPRAS!C29:C105,Tabla8[[#Headers],[2019]])</f>
        <v>0</v>
      </c>
      <c r="E46" s="48">
        <f>+SUMIFS(COMPRAS!$I$4:$I$80,COMPRAS!$E$4:$E$80,Tabla8[[#This Row],[PROV/AÑO]],COMPRAS!$C$4:$C$80,Tabla8[[#Headers],[2020]])</f>
        <v>0</v>
      </c>
      <c r="F46" s="49">
        <f>+SUMIFS(COMPRAS!$I$4:$I$80,COMPRAS!$E$4:$E$80,Tabla8[[#This Row],[PROV/AÑO]],COMPRAS!$C$4:$C$80,Tabla8[[#Headers],[2021]])</f>
        <v>0</v>
      </c>
    </row>
  </sheetData>
  <mergeCells count="2">
    <mergeCell ref="A2:F2"/>
    <mergeCell ref="A3:F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B.D</vt:lpstr>
      <vt:lpstr>VENTAS</vt:lpstr>
      <vt:lpstr>Hoja1</vt:lpstr>
      <vt:lpstr>RESUMEN VENTAS</vt:lpstr>
      <vt:lpstr>COMPRAS</vt:lpstr>
      <vt:lpstr>RESUMEN COMPRAS</vt:lpstr>
      <vt:lpstr>B.D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Andres</dc:creator>
  <cp:lastModifiedBy>Asus</cp:lastModifiedBy>
  <dcterms:created xsi:type="dcterms:W3CDTF">2021-01-19T22:28:08Z</dcterms:created>
  <dcterms:modified xsi:type="dcterms:W3CDTF">2022-04-04T22:47:39Z</dcterms:modified>
</cp:coreProperties>
</file>